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nálise" sheetId="1" state="visible" r:id="rId1"/>
    <sheet xmlns:r="http://schemas.openxmlformats.org/officeDocument/2006/relationships" name="Como usar" sheetId="2" state="visible" r:id="rId2"/>
    <sheet xmlns:r="http://schemas.openxmlformats.org/officeDocument/2006/relationships" name="Ideias" sheetId="3" state="visible" r:id="rId3"/>
    <sheet xmlns:r="http://schemas.openxmlformats.org/officeDocument/2006/relationships" name="Critérios" sheetId="4" state="visible" r:id="rId4"/>
    <sheet xmlns:r="http://schemas.openxmlformats.org/officeDocument/2006/relationships" name="Roteiro Lucas" sheetId="5" state="visible" r:id="rId5"/>
    <sheet xmlns:r="http://schemas.openxmlformats.org/officeDocument/2006/relationships" name="Dores do Lucas" sheetId="6" state="visible" r:id="rId6"/>
    <sheet xmlns:r="http://schemas.openxmlformats.org/officeDocument/2006/relationships" name="Matriz de validação" sheetId="7" state="visible" r:id="rId7"/>
    <sheet xmlns:r="http://schemas.openxmlformats.org/officeDocument/2006/relationships" name="Plano de ação" sheetId="8" state="visible" r:id="rId8"/>
    <sheet xmlns:r="http://schemas.openxmlformats.org/officeDocument/2006/relationships" name="Fontes" sheetId="9" state="visible" r:id="rId9"/>
  </sheets>
  <definedNames>
    <definedName name="_xlnm._FilterDatabase" localSheetId="0" hidden="1">'Análise'!$A$5:$N$21</definedName>
    <definedName name="_xlnm._FilterDatabase" localSheetId="6" hidden="1">'Matriz de validação'!$A$4:$J$20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7F7F7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b val="1"/>
      <color rgb="00FFFFFF"/>
      <sz val="16"/>
    </font>
    <font>
      <i val="1"/>
      <color rgb="0092400E"/>
    </font>
    <font>
      <b val="1"/>
      <color rgb="001F2937"/>
      <sz val="13"/>
    </font>
    <font>
      <b val="1"/>
      <color rgb="00FFFFFF"/>
    </font>
    <font>
      <b val="1"/>
      <color rgb="00FFFFFF"/>
      <sz val="15"/>
    </font>
  </fonts>
  <fills count="10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 wrapText="1"/>
    </xf>
    <xf numFmtId="2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2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11" fillId="5" borderId="0" pivotButton="0" quotePrefix="0" xfId="0"/>
    <xf numFmtId="0" fontId="12" fillId="6" borderId="0" pivotButton="0" quotePrefix="0" xfId="0"/>
    <xf numFmtId="0" fontId="13" fillId="0" borderId="0" pivotButton="0" quotePrefix="0" xfId="0"/>
    <xf numFmtId="0" fontId="14" fillId="7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 wrapText="1"/>
    </xf>
    <xf numFmtId="2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2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5" fillId="5" borderId="0" pivotButton="0" quotePrefix="0" xfId="0"/>
    <xf numFmtId="0" fontId="0" fillId="6" borderId="0" pivotButton="0" quotePrefix="0" xfId="0"/>
    <xf numFmtId="0" fontId="14" fillId="7" borderId="0" applyAlignment="1" pivotButton="0" quotePrefix="0" xfId="0">
      <alignment wrapText="1"/>
    </xf>
    <xf numFmtId="0" fontId="14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Nota ponderada — triagem preliminar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'Análise'!L5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'Análise'!$D$6:$D$21</f>
            </numRef>
          </cat>
          <val>
            <numRef>
              <f>'Análise'!$L$6:$L$21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Nota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Ideia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C3" authorId="0" shapeId="0">
      <text>
        <t>Pesos padrão: sugestão inicial do Claude (dor e disposição a pagar pesam mais). Ajustem livremente.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0" min="1" max="1"/>
    <col width="6" customWidth="1" style="20" min="2" max="2"/>
    <col width="20" customWidth="1" style="20" min="3" max="3"/>
    <col width="55" customWidth="1" style="20" min="4" max="4"/>
    <col width="8" customWidth="1" style="20" min="5" max="5"/>
    <col width="11" customWidth="1" style="20" min="6" max="6"/>
    <col width="10" customWidth="1" style="20" min="7" max="7"/>
    <col width="13" customWidth="1" style="20" min="8" max="8"/>
    <col width="14" customWidth="1" style="20" min="9" max="9"/>
    <col width="8" customWidth="1" style="20" min="10" max="10"/>
    <col width="11" customWidth="1" style="20" min="11" max="11"/>
    <col width="14" customWidth="1" style="20" min="12" max="12"/>
    <col width="20" customWidth="1" style="20" min="13" max="13"/>
    <col width="62" customWidth="1" style="20" min="14" max="14"/>
  </cols>
  <sheetData>
    <row r="1">
      <c r="A1" s="21" t="inlineStr">
        <is>
          <t>ANÁLISE DE OPORTUNIDADES — triagem preliminar</t>
        </is>
      </c>
    </row>
    <row r="2">
      <c r="A2" s="22" t="inlineStr">
        <is>
          <t>Importante: as notas abaixo são hipóteses analíticas, não respostas de clientes. Devem ser substituídas/ajustadas após entrevistas e evidências.</t>
        </is>
      </c>
    </row>
    <row r="4">
      <c r="A4" s="23" t="inlineStr">
        <is>
          <t>Ranking preliminar</t>
        </is>
      </c>
    </row>
    <row r="5">
      <c r="A5" s="24" t="inlineStr">
        <is>
          <t>Rank</t>
        </is>
      </c>
      <c r="B5" s="24" t="inlineStr">
        <is>
          <t>ID</t>
        </is>
      </c>
      <c r="C5" s="24" t="inlineStr">
        <is>
          <t>Área</t>
        </is>
      </c>
      <c r="D5" s="24" t="inlineStr">
        <is>
          <t>Ideia</t>
        </is>
      </c>
      <c r="E5" s="24" t="inlineStr">
        <is>
          <t>Dor</t>
        </is>
      </c>
      <c r="F5" s="24" t="inlineStr">
        <is>
          <t>Gasto atual</t>
        </is>
      </c>
      <c r="G5" s="24" t="inlineStr">
        <is>
          <t>Mercado</t>
        </is>
      </c>
      <c r="H5" s="24" t="inlineStr">
        <is>
          <t>Concorrência</t>
        </is>
      </c>
      <c r="I5" s="24" t="inlineStr">
        <is>
          <t>Regulação/risco</t>
        </is>
      </c>
      <c r="J5" s="24" t="inlineStr">
        <is>
          <t>MVP</t>
        </is>
      </c>
      <c r="K5" s="24" t="inlineStr">
        <is>
          <t>Recorrência</t>
        </is>
      </c>
      <c r="L5" s="24" t="inlineStr">
        <is>
          <t>Nota ponderada</t>
        </is>
      </c>
      <c r="M5" s="24" t="inlineStr">
        <is>
          <t>Prioridade de validação</t>
        </is>
      </c>
      <c r="N5" s="24" t="inlineStr">
        <is>
          <t>Observação</t>
        </is>
      </c>
    </row>
    <row r="6">
      <c r="A6" s="25" t="n">
        <v>1</v>
      </c>
      <c r="B6" s="25" t="n">
        <v>12</v>
      </c>
      <c r="C6" s="25" t="inlineStr">
        <is>
          <t>IA</t>
        </is>
      </c>
      <c r="D6" s="25" t="inlineStr">
        <is>
          <t>Leitura automática de laudos de fornecedores em PDF, com conferência e alertas</t>
        </is>
      </c>
      <c r="E6" s="25" t="n">
        <v>5</v>
      </c>
      <c r="F6" s="25" t="n">
        <v>5</v>
      </c>
      <c r="G6" s="25" t="n">
        <v>5</v>
      </c>
      <c r="H6" s="25" t="n">
        <v>3</v>
      </c>
      <c r="I6" s="25" t="n">
        <v>4</v>
      </c>
      <c r="J6" s="25" t="n">
        <v>5</v>
      </c>
      <c r="K6" s="25" t="n">
        <v>5</v>
      </c>
      <c r="L6" s="26" t="n">
        <v>4.79</v>
      </c>
      <c r="M6" s="27" t="inlineStr">
        <is>
          <t>Validar primeiro</t>
        </is>
      </c>
      <c r="N6" s="25" t="inlineStr">
        <is>
          <t>Hipótese: combina dor, economia mensurável e MVP rápido; precisa validar acurácia e formatos.</t>
        </is>
      </c>
    </row>
    <row r="7">
      <c r="A7" s="25" t="n">
        <v>2</v>
      </c>
      <c r="B7" s="25" t="n">
        <v>2</v>
      </c>
      <c r="C7" s="25" t="inlineStr">
        <is>
          <t>Lab / Química</t>
        </is>
      </c>
      <c r="D7" s="25" t="inlineStr">
        <is>
          <t>Rastreio de amostras: recebimento → análise → laudo, com histórico completo</t>
        </is>
      </c>
      <c r="E7" s="25" t="n">
        <v>5</v>
      </c>
      <c r="F7" s="25" t="n">
        <v>5</v>
      </c>
      <c r="G7" s="25" t="n">
        <v>4</v>
      </c>
      <c r="H7" s="25" t="n">
        <v>3</v>
      </c>
      <c r="I7" s="25" t="n">
        <v>3</v>
      </c>
      <c r="J7" s="25" t="n">
        <v>4</v>
      </c>
      <c r="K7" s="25" t="n">
        <v>5</v>
      </c>
      <c r="L7" s="26" t="n">
        <v>4.43</v>
      </c>
      <c r="M7" s="27" t="inlineStr">
        <is>
          <t>Validar primeiro</t>
        </is>
      </c>
      <c r="N7" s="25" t="inlineStr">
        <is>
          <t>Hipótese: processo crítico e recorrente; boa base para SaaS. Validar integrações e concorrência.</t>
        </is>
      </c>
    </row>
    <row r="8">
      <c r="A8" s="25" t="n">
        <v>3</v>
      </c>
      <c r="B8" s="25" t="n">
        <v>16</v>
      </c>
      <c r="C8" s="25" t="inlineStr">
        <is>
          <t>Pequenos negócios</t>
        </is>
      </c>
      <c r="D8" s="25" t="inlineStr">
        <is>
          <t>Sistema com WhatsApp e agendamento (pet shops, tabacarias, clínicas)</t>
        </is>
      </c>
      <c r="E8" s="25" t="n">
        <v>5</v>
      </c>
      <c r="F8" s="25" t="n">
        <v>4</v>
      </c>
      <c r="G8" s="25" t="n">
        <v>5</v>
      </c>
      <c r="H8" s="25" t="n">
        <v>1</v>
      </c>
      <c r="I8" s="25" t="n">
        <v>4</v>
      </c>
      <c r="J8" s="25" t="n">
        <v>5</v>
      </c>
      <c r="K8" s="25" t="n">
        <v>5</v>
      </c>
      <c r="L8" s="26" t="n">
        <v>4.43</v>
      </c>
      <c r="M8" s="27" t="inlineStr">
        <is>
          <t>Validar primeiro</t>
        </is>
      </c>
      <c r="N8" s="25" t="inlineStr">
        <is>
          <t>Hipótese: MVP e mercado acessíveis, porém concorrência muito alta; precisa nichar para vencer.</t>
        </is>
      </c>
    </row>
    <row r="9">
      <c r="A9" s="25" t="n">
        <v>4</v>
      </c>
      <c r="B9" s="25" t="n">
        <v>5</v>
      </c>
      <c r="C9" s="25" t="inlineStr">
        <is>
          <t>Lab / Química</t>
        </is>
      </c>
      <c r="D9" s="25" t="inlineStr">
        <is>
          <t>Gestão da qualidade: POPs, treinamentos, não conformidades e auditorias</t>
        </is>
      </c>
      <c r="E9" s="25" t="n">
        <v>5</v>
      </c>
      <c r="F9" s="25" t="n">
        <v>5</v>
      </c>
      <c r="G9" s="25" t="n">
        <v>4</v>
      </c>
      <c r="H9" s="25" t="n">
        <v>2</v>
      </c>
      <c r="I9" s="25" t="n">
        <v>3</v>
      </c>
      <c r="J9" s="25" t="n">
        <v>4</v>
      </c>
      <c r="K9" s="25" t="n">
        <v>5</v>
      </c>
      <c r="L9" s="26" t="n">
        <v>4.36</v>
      </c>
      <c r="M9" s="28" t="inlineStr">
        <is>
          <t>Validar depois</t>
        </is>
      </c>
      <c r="N9" s="25" t="inlineStr">
        <is>
          <t>Hipótese: dor alta e orçamento potencial; mercado mais concorrido e requisitos de qualidade importantes.</t>
        </is>
      </c>
    </row>
    <row r="10">
      <c r="A10" s="25" t="n">
        <v>5</v>
      </c>
      <c r="B10" s="25" t="n">
        <v>3</v>
      </c>
      <c r="C10" s="25" t="inlineStr">
        <is>
          <t>Lab / Química</t>
        </is>
      </c>
      <c r="D10" s="25" t="inlineStr">
        <is>
          <t>Emissão automática de laudos e certificados de análise a partir dos resultados</t>
        </is>
      </c>
      <c r="E10" s="25" t="n">
        <v>4</v>
      </c>
      <c r="F10" s="25" t="n">
        <v>5</v>
      </c>
      <c r="G10" s="25" t="n">
        <v>4</v>
      </c>
      <c r="H10" s="25" t="n">
        <v>2</v>
      </c>
      <c r="I10" s="25" t="n">
        <v>3</v>
      </c>
      <c r="J10" s="25" t="n">
        <v>5</v>
      </c>
      <c r="K10" s="25" t="n">
        <v>5</v>
      </c>
      <c r="L10" s="26" t="n">
        <v>4.29</v>
      </c>
      <c r="M10" s="28" t="inlineStr">
        <is>
          <t>Validar depois</t>
        </is>
      </c>
      <c r="N10" s="25" t="inlineStr">
        <is>
          <t>Hipótese: economia de tempo evidente; diferenciação precisa ser investigada.</t>
        </is>
      </c>
    </row>
    <row r="11">
      <c r="A11" s="25" t="n">
        <v>6</v>
      </c>
      <c r="B11" s="25" t="n">
        <v>11</v>
      </c>
      <c r="C11" s="25" t="inlineStr">
        <is>
          <t>IA</t>
        </is>
      </c>
      <c r="D11" s="25" t="inlineStr">
        <is>
          <t>Assistente que responde perguntas sobre o manual de qualidade e os POPs da empresa</t>
        </is>
      </c>
      <c r="E11" s="25" t="n">
        <v>4</v>
      </c>
      <c r="F11" s="25" t="n">
        <v>4</v>
      </c>
      <c r="G11" s="25" t="n">
        <v>5</v>
      </c>
      <c r="H11" s="25" t="n">
        <v>2</v>
      </c>
      <c r="I11" s="25" t="n">
        <v>4</v>
      </c>
      <c r="J11" s="25" t="n">
        <v>5</v>
      </c>
      <c r="K11" s="25" t="n">
        <v>5</v>
      </c>
      <c r="L11" s="26" t="n">
        <v>4.29</v>
      </c>
      <c r="M11" s="28" t="inlineStr">
        <is>
          <t>Validar depois</t>
        </is>
      </c>
      <c r="N11" s="25" t="inlineStr">
        <is>
          <t>Hipótese: MVP muito rápido; risco principal é precisão, atualização documental e confiança.</t>
        </is>
      </c>
    </row>
    <row r="12">
      <c r="A12" s="25" t="n">
        <v>7</v>
      </c>
      <c r="B12" s="25" t="n">
        <v>4</v>
      </c>
      <c r="C12" s="25" t="inlineStr">
        <is>
          <t>Lab / Química</t>
        </is>
      </c>
      <c r="D12" s="25" t="inlineStr">
        <is>
          <t>Gestão de equipamentos: calibração, manutenção e verificação, com agenda e alertas</t>
        </is>
      </c>
      <c r="E12" s="25" t="n">
        <v>4</v>
      </c>
      <c r="F12" s="25" t="n">
        <v>4</v>
      </c>
      <c r="G12" s="25" t="n">
        <v>4</v>
      </c>
      <c r="H12" s="25" t="n">
        <v>3</v>
      </c>
      <c r="I12" s="25" t="n">
        <v>3</v>
      </c>
      <c r="J12" s="25" t="n">
        <v>5</v>
      </c>
      <c r="K12" s="25" t="n">
        <v>5</v>
      </c>
      <c r="L12" s="26" t="n">
        <v>4.14</v>
      </c>
      <c r="M12" s="28" t="inlineStr">
        <is>
          <t>Validar depois</t>
        </is>
      </c>
      <c r="N12" s="25" t="inlineStr">
        <is>
          <t>Hipótese: dor recorrente e MVP viável; validar quantidade de equipamentos e soluções atuais.</t>
        </is>
      </c>
    </row>
    <row r="13">
      <c r="A13" s="25" t="n">
        <v>8</v>
      </c>
      <c r="B13" s="25" t="n">
        <v>9</v>
      </c>
      <c r="C13" s="25" t="inlineStr">
        <is>
          <t>Lab / Química</t>
        </is>
      </c>
      <c r="D13" s="25" t="inlineStr">
        <is>
          <t>Portal do cliente para labs prestadores: solicitar análise, acompanhar, baixar laudo</t>
        </is>
      </c>
      <c r="E13" s="25" t="n">
        <v>4</v>
      </c>
      <c r="F13" s="25" t="n">
        <v>4</v>
      </c>
      <c r="G13" s="25" t="n">
        <v>5</v>
      </c>
      <c r="H13" s="25" t="n">
        <v>2</v>
      </c>
      <c r="I13" s="25" t="n">
        <v>4</v>
      </c>
      <c r="J13" s="25" t="n">
        <v>5</v>
      </c>
      <c r="K13" s="25" t="n">
        <v>4</v>
      </c>
      <c r="L13" s="26" t="n">
        <v>4.14</v>
      </c>
      <c r="M13" s="29" t="inlineStr">
        <is>
          <t>Baixa prioridade</t>
        </is>
      </c>
      <c r="N13" s="25" t="inlineStr">
        <is>
          <t>Hipótese: acesso ao mercado é bom, mas portal genérico tem concorrência.</t>
        </is>
      </c>
    </row>
    <row r="14">
      <c r="A14" s="25" t="n">
        <v>9</v>
      </c>
      <c r="B14" s="25" t="n">
        <v>1</v>
      </c>
      <c r="C14" s="25" t="inlineStr">
        <is>
          <t>Lab / Química</t>
        </is>
      </c>
      <c r="D14" s="25" t="inlineStr">
        <is>
          <t>Controle de reagentes e estoque (validades, alertas, FISPQ, etiquetas com QR code)</t>
        </is>
      </c>
      <c r="E14" s="25" t="n">
        <v>4</v>
      </c>
      <c r="F14" s="25" t="n">
        <v>4</v>
      </c>
      <c r="G14" s="25" t="n">
        <v>4</v>
      </c>
      <c r="H14" s="25" t="n">
        <v>3</v>
      </c>
      <c r="I14" s="25" t="n">
        <v>3</v>
      </c>
      <c r="J14" s="25" t="n">
        <v>5</v>
      </c>
      <c r="K14" s="25" t="n">
        <v>4</v>
      </c>
      <c r="L14" s="26" t="n">
        <v>4</v>
      </c>
      <c r="M14" s="29" t="inlineStr">
        <is>
          <t>Baixa prioridade</t>
        </is>
      </c>
      <c r="N14" s="25" t="inlineStr">
        <is>
          <t>Hipótese: dor operacional forte; MVP relativamente simples. Validar frequência e disposição a pagar.</t>
        </is>
      </c>
    </row>
    <row r="15">
      <c r="A15" s="25" t="n">
        <v>10</v>
      </c>
      <c r="B15" s="25" t="n">
        <v>10</v>
      </c>
      <c r="C15" s="25" t="inlineStr">
        <is>
          <t>Lab / Química</t>
        </is>
      </c>
      <c r="D15" s="25" t="inlineStr">
        <is>
          <t>Gestão de formulações para pequenas indústrias (versões de receita, custo, ficha técnica)</t>
        </is>
      </c>
      <c r="E15" s="25" t="n">
        <v>4</v>
      </c>
      <c r="F15" s="25" t="n">
        <v>4</v>
      </c>
      <c r="G15" s="25" t="n">
        <v>4</v>
      </c>
      <c r="H15" s="25" t="n">
        <v>3</v>
      </c>
      <c r="I15" s="25" t="n">
        <v>3</v>
      </c>
      <c r="J15" s="25" t="n">
        <v>4</v>
      </c>
      <c r="K15" s="25" t="n">
        <v>5</v>
      </c>
      <c r="L15" s="26" t="n">
        <v>4</v>
      </c>
      <c r="M15" s="29" t="inlineStr">
        <is>
          <t>Baixa prioridade</t>
        </is>
      </c>
      <c r="N15" s="25" t="inlineStr">
        <is>
          <t>Hipótese: recorrência e valor econômico; validar segmentos e complexidade regulatória.</t>
        </is>
      </c>
    </row>
    <row r="16">
      <c r="A16" s="25" t="n">
        <v>11</v>
      </c>
      <c r="B16" s="25" t="n">
        <v>8</v>
      </c>
      <c r="C16" s="25" t="inlineStr">
        <is>
          <t>Lab / Química</t>
        </is>
      </c>
      <c r="D16" s="25" t="inlineStr">
        <is>
          <t>Captura automática de dados de instrumentos (balança, pHmetro etc.), sem redigitar</t>
        </is>
      </c>
      <c r="E16" s="25" t="n">
        <v>5</v>
      </c>
      <c r="F16" s="25" t="n">
        <v>5</v>
      </c>
      <c r="G16" s="25" t="n">
        <v>3</v>
      </c>
      <c r="H16" s="25" t="n">
        <v>3</v>
      </c>
      <c r="I16" s="25" t="n">
        <v>2</v>
      </c>
      <c r="J16" s="25" t="n">
        <v>2</v>
      </c>
      <c r="K16" s="25" t="n">
        <v>5</v>
      </c>
      <c r="L16" s="26" t="n">
        <v>3.93</v>
      </c>
      <c r="M16" s="29" t="inlineStr">
        <is>
          <t>Baixa prioridade</t>
        </is>
      </c>
      <c r="N16" s="25" t="inlineStr">
        <is>
          <t>Hipótese: ROI potencial alto; hardware/protocolos e integrações podem tornar o MVP difícil.</t>
        </is>
      </c>
    </row>
    <row r="17">
      <c r="A17" s="25" t="n">
        <v>12</v>
      </c>
      <c r="B17" s="25" t="n">
        <v>13</v>
      </c>
      <c r="C17" s="25" t="inlineStr">
        <is>
          <t>QA (experiência do Will)</t>
        </is>
      </c>
      <c r="D17" s="25" t="inlineStr">
        <is>
          <t>Validação de sistemas computadorizados e testes automatizados como serviço</t>
        </is>
      </c>
      <c r="E17" s="25" t="n">
        <v>5</v>
      </c>
      <c r="F17" s="25" t="n">
        <v>5</v>
      </c>
      <c r="G17" s="25" t="n">
        <v>3</v>
      </c>
      <c r="H17" s="25" t="n">
        <v>4</v>
      </c>
      <c r="I17" s="25" t="n">
        <v>2</v>
      </c>
      <c r="J17" s="25" t="n">
        <v>3</v>
      </c>
      <c r="K17" s="25" t="n">
        <v>3</v>
      </c>
      <c r="L17" s="26" t="n">
        <v>3.86</v>
      </c>
      <c r="M17" s="29" t="inlineStr">
        <is>
          <t>Baixa prioridade</t>
        </is>
      </c>
      <c r="N17" s="25" t="inlineStr">
        <is>
          <t>Hipótese: barreira de conhecimento cria diferenciação; modelo inicial é mais serviço que SaaS.</t>
        </is>
      </c>
    </row>
    <row r="18">
      <c r="A18" s="25" t="n">
        <v>13</v>
      </c>
      <c r="B18" s="25" t="n">
        <v>7</v>
      </c>
      <c r="C18" s="25" t="inlineStr">
        <is>
          <t>Lab / Química</t>
        </is>
      </c>
      <c r="D18" s="25" t="inlineStr">
        <is>
          <t>Resíduos químicos e produtos controlados: conformidade e documentação obrigatória</t>
        </is>
      </c>
      <c r="E18" s="25" t="n">
        <v>4</v>
      </c>
      <c r="F18" s="25" t="n">
        <v>5</v>
      </c>
      <c r="G18" s="25" t="n">
        <v>3</v>
      </c>
      <c r="H18" s="25" t="n">
        <v>3</v>
      </c>
      <c r="I18" s="25" t="n">
        <v>2</v>
      </c>
      <c r="J18" s="25" t="n">
        <v>3</v>
      </c>
      <c r="K18" s="25" t="n">
        <v>4</v>
      </c>
      <c r="L18" s="26" t="n">
        <v>3.71</v>
      </c>
      <c r="M18" s="29" t="inlineStr">
        <is>
          <t>Baixa prioridade</t>
        </is>
      </c>
      <c r="N18" s="25" t="inlineStr">
        <is>
          <t>Hipótese: problema real, porém risco/regulação aumentam custo de entrada.</t>
        </is>
      </c>
    </row>
    <row r="19">
      <c r="A19" s="25" t="n">
        <v>14</v>
      </c>
      <c r="B19" s="25" t="n">
        <v>6</v>
      </c>
      <c r="C19" s="25" t="inlineStr">
        <is>
          <t>Lab / Química</t>
        </is>
      </c>
      <c r="D19" s="25" t="inlineStr">
        <is>
          <t>Controle estatístico e incerteza de medição (labs acreditados)</t>
        </is>
      </c>
      <c r="E19" s="25" t="n">
        <v>4</v>
      </c>
      <c r="F19" s="25" t="n">
        <v>4</v>
      </c>
      <c r="G19" s="25" t="n">
        <v>3</v>
      </c>
      <c r="H19" s="25" t="n">
        <v>3</v>
      </c>
      <c r="I19" s="25" t="n">
        <v>2</v>
      </c>
      <c r="J19" s="25" t="n">
        <v>2</v>
      </c>
      <c r="K19" s="25" t="n">
        <v>5</v>
      </c>
      <c r="L19" s="26" t="n">
        <v>3.5</v>
      </c>
      <c r="M19" s="29" t="inlineStr">
        <is>
          <t>Baixa prioridade</t>
        </is>
      </c>
      <c r="N19" s="25" t="inlineStr">
        <is>
          <t>Hipótese: nicho técnico e recorrente, mas MVP e suporte exigem conhecimento especializado.</t>
        </is>
      </c>
    </row>
    <row r="20">
      <c r="A20" s="25" t="n">
        <v>15</v>
      </c>
      <c r="B20" s="25" t="n">
        <v>14</v>
      </c>
      <c r="C20" s="25" t="inlineStr">
        <is>
          <t>Cannabis</t>
        </is>
      </c>
      <c r="D20" s="25" t="inlineStr">
        <is>
          <t>Gestão para associações: pacientes, produção, rastreabilidade e prestação de contas</t>
        </is>
      </c>
      <c r="E20" s="25" t="n">
        <v>4</v>
      </c>
      <c r="F20" s="25" t="n">
        <v>4</v>
      </c>
      <c r="G20" s="25" t="n">
        <v>2</v>
      </c>
      <c r="H20" s="25" t="n">
        <v>3</v>
      </c>
      <c r="I20" s="25" t="n">
        <v>1</v>
      </c>
      <c r="J20" s="25" t="n">
        <v>2</v>
      </c>
      <c r="K20" s="25" t="n">
        <v>5</v>
      </c>
      <c r="L20" s="26" t="n">
        <v>3.29</v>
      </c>
      <c r="M20" s="29" t="inlineStr">
        <is>
          <t>Baixa prioridade</t>
        </is>
      </c>
      <c r="N20" s="25" t="inlineStr">
        <is>
          <t>Hipótese: dor potencial alta, mas mercado/endereço regulatório exigem validação específica.</t>
        </is>
      </c>
    </row>
    <row r="21">
      <c r="A21" s="25" t="n">
        <v>16</v>
      </c>
      <c r="B21" s="25" t="n">
        <v>15</v>
      </c>
      <c r="C21" s="25" t="inlineStr">
        <is>
          <t>Cannabis</t>
        </is>
      </c>
      <c r="D21" s="25" t="inlineStr">
        <is>
          <t>Análise de canabinoides e controle de qualidade como serviço</t>
        </is>
      </c>
      <c r="E21" s="25" t="n">
        <v>4</v>
      </c>
      <c r="F21" s="25" t="n">
        <v>4</v>
      </c>
      <c r="G21" s="25" t="n">
        <v>2</v>
      </c>
      <c r="H21" s="25" t="n">
        <v>3</v>
      </c>
      <c r="I21" s="25" t="n">
        <v>1</v>
      </c>
      <c r="J21" s="25" t="n">
        <v>1</v>
      </c>
      <c r="K21" s="25" t="n">
        <v>2</v>
      </c>
      <c r="L21" s="26" t="n">
        <v>2.71</v>
      </c>
      <c r="M21" s="29" t="inlineStr">
        <is>
          <t>Baixa prioridade</t>
        </is>
      </c>
      <c r="N21" s="25" t="inlineStr">
        <is>
          <t>Hipótese: valor técnico alto, porém dependência de laboratório, capital e regulação.</t>
        </is>
      </c>
    </row>
    <row r="25">
      <c r="A25" s="23" t="inlineStr">
        <is>
          <t>Leitura executiva</t>
        </is>
      </c>
    </row>
    <row r="26" ht="32" customHeight="1" s="20">
      <c r="A26" s="30" t="inlineStr">
        <is>
          <t>1) Melhor candidato para teste rápido: leitura automática de laudos PDF — dor e economia são mensuráveis e o MVP pode começar como serviço assistido por IA.</t>
        </is>
      </c>
    </row>
    <row r="27" ht="32" customHeight="1" s="20">
      <c r="A27" s="30" t="inlineStr">
        <is>
          <t>2) Melhor oportunidade de software vertical: rastreio de amostras — processo crítico, recorrente e com potencial de retenção.</t>
        </is>
      </c>
    </row>
    <row r="28" ht="32" customHeight="1" s="20">
      <c r="A28" s="30" t="inlineStr">
        <is>
          <t>3) Oportunidade comercial ampla, porém concorrida: WhatsApp + agendamento — só faz sentido com um nicho e uma dor específica.</t>
        </is>
      </c>
    </row>
    <row r="29" ht="32" customHeight="1" s="20">
      <c r="A29" s="30" t="inlineStr">
        <is>
          <t>4) Serviço com barreira de conhecimento: validação de sistemas computadorizados — pode gerar caixa antes de virar produto, mas depende de posicionamento e capacidade técnica.</t>
        </is>
      </c>
    </row>
    <row r="30" ht="32" customHeight="1" s="20">
      <c r="A30" s="30" t="inlineStr">
        <is>
          <t>5) Cannabis: não foi descartada, mas deve ficar atrás na validação inicial porque as atividades dependem de enquadramento e exigências regulatórias específicas.</t>
        </is>
      </c>
    </row>
  </sheetData>
  <autoFilter ref="A5:N21"/>
  <mergeCells count="7">
    <mergeCell ref="A27:N27"/>
    <mergeCell ref="A26:N26"/>
    <mergeCell ref="A30:N30"/>
    <mergeCell ref="A2:N2"/>
    <mergeCell ref="A29:N29"/>
    <mergeCell ref="A28:N28"/>
    <mergeCell ref="A1:N1"/>
  </mergeCells>
  <conditionalFormatting sqref="L6:L21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5" customWidth="1" style="31" min="1" max="1"/>
  </cols>
  <sheetData>
    <row r="1" ht="17.35" customHeight="1" s="20">
      <c r="A1" s="32" t="inlineStr">
        <is>
          <t>Pesquisa de ideias — Will &amp; Lucas</t>
        </is>
      </c>
    </row>
    <row r="2" ht="15" customHeight="1" s="20">
      <c r="A2" s="33" t="n"/>
    </row>
    <row r="3" ht="15" customHeight="1" s="20">
      <c r="A3" s="34" t="inlineStr">
        <is>
          <t>OBJETIVO: escolher, com critérios combinados antes, 1 ou 2 ideias para validar com clientes reais.</t>
        </is>
      </c>
    </row>
    <row r="4" ht="15" customHeight="1" s="20">
      <c r="A4" s="33" t="n"/>
    </row>
    <row r="5" ht="15" customHeight="1" s="20">
      <c r="A5" s="34" t="inlineStr">
        <is>
          <t>ABAS</t>
        </is>
      </c>
    </row>
    <row r="6" ht="15" customHeight="1" s="20">
      <c r="A6" s="33" t="inlineStr">
        <is>
          <t>• Ideias: 16 ideias iniciais + 2 linhas livres. Dê nota de 1 a 5 em cada critério; a nota final e o ranking são calculados sozinhos.</t>
        </is>
      </c>
    </row>
    <row r="7" ht="15" customHeight="1" s="20">
      <c r="A7" s="33" t="inlineStr">
        <is>
          <t>• Critérios: o que significa nota 1 e nota 5 em cada critério (para vocês dois darem notas com o mesmo entendimento).</t>
        </is>
      </c>
    </row>
    <row r="8" ht="15" customHeight="1" s="20">
      <c r="A8" s="33" t="inlineStr">
        <is>
          <t>• Roteiro Lucas: perguntas para a conversa de 30 a 45 min, com coluna de anotações.</t>
        </is>
      </c>
    </row>
    <row r="9" ht="15" customHeight="1" s="20">
      <c r="A9" s="33" t="inlineStr">
        <is>
          <t>• Dores do Lucas: registro das dores que aparecerem na conversa. Cada dor pode virar uma ideia nova na aba Ideias.</t>
        </is>
      </c>
    </row>
    <row r="10" ht="15" customHeight="1" s="20">
      <c r="A10" s="33" t="n"/>
    </row>
    <row r="11" ht="15" customHeight="1" s="20">
      <c r="A11" s="34" t="inlineStr">
        <is>
          <t>COMO PREENCHER</t>
        </is>
      </c>
    </row>
    <row r="12" ht="15" customHeight="1" s="20">
      <c r="A12" s="33" t="inlineStr">
        <is>
          <t>• Células amarelas com texto azul são para preencher (notas, pesos, anotações). Todo o resto é fórmula ou texto fixo.</t>
        </is>
      </c>
    </row>
    <row r="13" ht="15" customHeight="1" s="20">
      <c r="A13" s="33" t="inlineStr">
        <is>
          <t>• Escala: 1 a 5, onde 5 é sempre o MELHOR para vocês. Ex.: 'Pouca concorrência' com nota 5 = quase ninguém oferece isso.</t>
        </is>
      </c>
    </row>
    <row r="14" ht="15" customHeight="1" s="20">
      <c r="A14" s="33" t="inlineStr">
        <is>
          <t>• A nota final só aparece quando os 7 critérios da linha estão preenchidos.</t>
        </is>
      </c>
    </row>
    <row r="15" ht="15" customHeight="1" s="20">
      <c r="A15" s="33" t="inlineStr">
        <is>
          <t>• As linhas em cinza itálico são exemplos e não entram no ranking. Podem ser apagadas.</t>
        </is>
      </c>
    </row>
    <row r="16" ht="15" customHeight="1" s="20">
      <c r="A16" s="33" t="n"/>
    </row>
    <row r="17" ht="15" customHeight="1" s="20">
      <c r="A17" s="34" t="inlineStr">
        <is>
          <t>PESOS</t>
        </is>
      </c>
    </row>
    <row r="18" ht="23.85" customHeight="1" s="20">
      <c r="A18" s="33" t="inlineStr">
        <is>
          <t>• Os pesos da aba Ideias (linha 3) são uma sugestão inicial minha (dor e disposição a pagar pesam mais). Ajustem entre vocês; a nota se recalcula.</t>
        </is>
      </c>
    </row>
    <row r="19" ht="15" customHeight="1" s="20">
      <c r="A19" s="33" t="n"/>
    </row>
    <row r="20" ht="15" customHeight="1" s="20">
      <c r="A20" s="34" t="inlineStr">
        <is>
          <t>SUGESTÃO DE REGRA DE DECISÃO (combinem antes de pontuar)</t>
        </is>
      </c>
    </row>
    <row r="21" ht="23.85" customHeight="1" s="20">
      <c r="A21" s="33" t="inlineStr">
        <is>
          <t>• Seguir para validação apenas com ideias que tenham nota final alta E 'Dor real e frequente' com nota 4 ou 5. Nota alta com dor baixa costuma ser ideia bonita que ninguém compra.</t>
        </is>
      </c>
    </row>
    <row r="22" ht="23.85" customHeight="1" s="20">
      <c r="A22" s="33" t="inlineStr">
        <is>
          <t>• A pontuação só vale depois da conversa com o Lucas e da pesquisa de mesa. Notas antes disso são palpites; anotem a fonte da nota na coluna Observações.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31" min="1" max="1"/>
    <col width="20" customWidth="1" style="31" min="2" max="2"/>
    <col width="52" customWidth="1" style="31" min="3" max="3"/>
    <col width="13" customWidth="1" style="31" min="4" max="4"/>
    <col width="15" customWidth="1" style="31" min="5" max="5"/>
    <col width="17" customWidth="1" style="31" min="6" max="6"/>
    <col width="13" customWidth="1" style="31" min="7" max="10"/>
    <col width="12" customWidth="1" style="31" min="11" max="11"/>
    <col width="10" customWidth="1" style="31" min="12" max="12"/>
    <col width="40" customWidth="1" style="31" min="13" max="13"/>
  </cols>
  <sheetData>
    <row r="1" ht="17.35" customHeight="1" s="20">
      <c r="A1" s="35" t="inlineStr">
        <is>
          <t>Pontuação das ideias</t>
        </is>
      </c>
    </row>
    <row r="2" ht="15" customHeight="1" s="20">
      <c r="A2" s="36" t="inlineStr">
        <is>
          <t>Notas de 1 a 5 (5 = melhor para vocês). Amarelo = preencher. A nota final aparece quando os 7 critérios estão preenchidos.</t>
        </is>
      </c>
    </row>
    <row r="3" ht="15" customHeight="1" s="20">
      <c r="C3" s="37" t="inlineStr">
        <is>
          <t>Peso →</t>
        </is>
      </c>
      <c r="D3" s="38" t="n">
        <v>3</v>
      </c>
      <c r="E3" s="38" t="n">
        <v>3</v>
      </c>
      <c r="F3" s="38" t="n">
        <v>2</v>
      </c>
      <c r="G3" s="38" t="n">
        <v>1</v>
      </c>
      <c r="H3" s="38" t="n">
        <v>1</v>
      </c>
      <c r="I3" s="38" t="n">
        <v>2</v>
      </c>
      <c r="J3" s="38" t="n">
        <v>2</v>
      </c>
      <c r="K3" s="39">
        <f>SUM(D3:J3)</f>
        <v/>
      </c>
      <c r="L3" s="36" t="inlineStr">
        <is>
          <t>← soma dos pesos</t>
        </is>
      </c>
    </row>
    <row r="4" ht="54.75" customHeight="1" s="20">
      <c r="A4" s="40" t="inlineStr">
        <is>
          <t>#</t>
        </is>
      </c>
      <c r="B4" s="40" t="inlineStr">
        <is>
          <t>Área</t>
        </is>
      </c>
      <c r="C4" s="40" t="inlineStr">
        <is>
          <t>Ideia</t>
        </is>
      </c>
      <c r="D4" s="40" t="inlineStr">
        <is>
          <t>Dor real e frequente</t>
        </is>
      </c>
      <c r="E4" s="40" t="inlineStr">
        <is>
          <t>Já gastam tempo/dinheiro com isso</t>
        </is>
      </c>
      <c r="F4" s="40" t="inlineStr">
        <is>
          <t>Mercado acessível (nº de clientes + acesso)</t>
        </is>
      </c>
      <c r="G4" s="40" t="inlineStr">
        <is>
          <t>Pouca concorrência</t>
        </is>
      </c>
      <c r="H4" s="40" t="inlineStr">
        <is>
          <t>Pouca regulação / risco</t>
        </is>
      </c>
      <c r="I4" s="40" t="inlineStr">
        <is>
          <t>MVP rápido de fazer</t>
        </is>
      </c>
      <c r="J4" s="40" t="inlineStr">
        <is>
          <t>Receita recorrente</t>
        </is>
      </c>
      <c r="K4" s="40" t="inlineStr">
        <is>
          <t>Nota final (1–5)</t>
        </is>
      </c>
      <c r="L4" s="40" t="inlineStr">
        <is>
          <t>Ranking</t>
        </is>
      </c>
      <c r="M4" s="40" t="inlineStr">
        <is>
          <t>Observações / fonte da nota</t>
        </is>
      </c>
    </row>
    <row r="5" ht="15" customHeight="1" s="20">
      <c r="A5" s="41" t="inlineStr">
        <is>
          <t>—</t>
        </is>
      </c>
      <c r="B5" s="41" t="inlineStr">
        <is>
          <t>EXEMPLO</t>
        </is>
      </c>
      <c r="C5" s="42" t="inlineStr">
        <is>
          <t>Exemplo (não conta no ranking): sistema fictício X</t>
        </is>
      </c>
      <c r="D5" s="41" t="n">
        <v>4</v>
      </c>
      <c r="E5" s="41" t="n">
        <v>3</v>
      </c>
      <c r="F5" s="41" t="n">
        <v>3</v>
      </c>
      <c r="G5" s="41" t="n">
        <v>2</v>
      </c>
      <c r="H5" s="41" t="n">
        <v>3</v>
      </c>
      <c r="I5" s="41" t="n">
        <v>4</v>
      </c>
      <c r="J5" s="41" t="n">
        <v>5</v>
      </c>
      <c r="K5" s="43">
        <f>IF(AND(COUNT(D5:J5)=7,$K$3&gt;0),SUMPRODUCT(D5:J5,$D$3:$J$3)/$K$3,"")</f>
        <v/>
      </c>
      <c r="L5" s="41" t="inlineStr">
        <is>
          <t>—</t>
        </is>
      </c>
      <c r="M5" s="44" t="inlineStr">
        <is>
          <t>Linha de exemplo do formato esperado</t>
        </is>
      </c>
    </row>
    <row r="6" ht="23.85" customHeight="1" s="20">
      <c r="A6" s="45" t="n">
        <v>1</v>
      </c>
      <c r="B6" s="46" t="inlineStr">
        <is>
          <t>Lab / Química</t>
        </is>
      </c>
      <c r="C6" s="46" t="inlineStr">
        <is>
          <t>Controle de reagentes e estoque (validades, alertas, FISPQ, etiquetas com QR code)</t>
        </is>
      </c>
      <c r="D6" s="38" t="n"/>
      <c r="E6" s="38" t="n"/>
      <c r="F6" s="38" t="n"/>
      <c r="G6" s="38" t="n"/>
      <c r="H6" s="38" t="n"/>
      <c r="I6" s="38" t="n"/>
      <c r="J6" s="38" t="n"/>
      <c r="K6" s="47">
        <f>IF(AND(COUNT(D6:J6)=7,$K$3&gt;0),SUMPRODUCT(D6:J6,$D$3:$J$3)/$K$3,"")</f>
        <v/>
      </c>
      <c r="L6" s="39">
        <f>IF(K6="","",RANK(K6,$K$6:$K$23,0))</f>
        <v/>
      </c>
      <c r="M6" s="48" t="n"/>
    </row>
    <row r="7" ht="23.85" customHeight="1" s="20">
      <c r="A7" s="45" t="n">
        <v>2</v>
      </c>
      <c r="B7" s="46" t="inlineStr">
        <is>
          <t>Lab / Química</t>
        </is>
      </c>
      <c r="C7" s="46" t="inlineStr">
        <is>
          <t>Rastreio de amostras: recebimento → análise → laudo, com histórico completo</t>
        </is>
      </c>
      <c r="D7" s="38" t="n"/>
      <c r="E7" s="38" t="n"/>
      <c r="F7" s="38" t="n"/>
      <c r="G7" s="38" t="n"/>
      <c r="H7" s="38" t="n"/>
      <c r="I7" s="38" t="n"/>
      <c r="J7" s="38" t="n"/>
      <c r="K7" s="47">
        <f>IF(AND(COUNT(D7:J7)=7,$K$3&gt;0),SUMPRODUCT(D7:J7,$D$3:$J$3)/$K$3,"")</f>
        <v/>
      </c>
      <c r="L7" s="39">
        <f>IF(K7="","",RANK(K7,$K$6:$K$23,0))</f>
        <v/>
      </c>
      <c r="M7" s="48" t="n"/>
    </row>
    <row r="8" ht="23.85" customHeight="1" s="20">
      <c r="A8" s="45" t="n">
        <v>3</v>
      </c>
      <c r="B8" s="46" t="inlineStr">
        <is>
          <t>Lab / Química</t>
        </is>
      </c>
      <c r="C8" s="46" t="inlineStr">
        <is>
          <t>Emissão automática de laudos e certificados de análise a partir dos resultados</t>
        </is>
      </c>
      <c r="D8" s="38" t="n"/>
      <c r="E8" s="38" t="n"/>
      <c r="F8" s="38" t="n"/>
      <c r="G8" s="38" t="n"/>
      <c r="H8" s="38" t="n"/>
      <c r="I8" s="38" t="n"/>
      <c r="J8" s="38" t="n"/>
      <c r="K8" s="47">
        <f>IF(AND(COUNT(D8:J8)=7,$K$3&gt;0),SUMPRODUCT(D8:J8,$D$3:$J$3)/$K$3,"")</f>
        <v/>
      </c>
      <c r="L8" s="39">
        <f>IF(K8="","",RANK(K8,$K$6:$K$23,0))</f>
        <v/>
      </c>
      <c r="M8" s="48" t="n"/>
    </row>
    <row r="9" ht="23.85" customHeight="1" s="20">
      <c r="A9" s="45" t="n">
        <v>4</v>
      </c>
      <c r="B9" s="46" t="inlineStr">
        <is>
          <t>Lab / Química</t>
        </is>
      </c>
      <c r="C9" s="46" t="inlineStr">
        <is>
          <t>Gestão de equipamentos: calibração, manutenção e verificação, com agenda e alertas</t>
        </is>
      </c>
      <c r="D9" s="38" t="n"/>
      <c r="E9" s="38" t="n"/>
      <c r="F9" s="38" t="n"/>
      <c r="G9" s="38" t="n"/>
      <c r="H9" s="38" t="n"/>
      <c r="I9" s="38" t="n"/>
      <c r="J9" s="38" t="n"/>
      <c r="K9" s="47">
        <f>IF(AND(COUNT(D9:J9)=7,$K$3&gt;0),SUMPRODUCT(D9:J9,$D$3:$J$3)/$K$3,"")</f>
        <v/>
      </c>
      <c r="L9" s="39">
        <f>IF(K9="","",RANK(K9,$K$6:$K$23,0))</f>
        <v/>
      </c>
      <c r="M9" s="48" t="n"/>
    </row>
    <row r="10" ht="23.85" customHeight="1" s="20">
      <c r="A10" s="45" t="n">
        <v>5</v>
      </c>
      <c r="B10" s="46" t="inlineStr">
        <is>
          <t>Lab / Química</t>
        </is>
      </c>
      <c r="C10" s="46" t="inlineStr">
        <is>
          <t>Gestão da qualidade: POPs, treinamentos, não conformidades e auditorias</t>
        </is>
      </c>
      <c r="D10" s="38" t="n"/>
      <c r="E10" s="38" t="n"/>
      <c r="F10" s="38" t="n"/>
      <c r="G10" s="38" t="n"/>
      <c r="H10" s="38" t="n"/>
      <c r="I10" s="38" t="n"/>
      <c r="J10" s="38" t="n"/>
      <c r="K10" s="47">
        <f>IF(AND(COUNT(D10:J10)=7,$K$3&gt;0),SUMPRODUCT(D10:J10,$D$3:$J$3)/$K$3,"")</f>
        <v/>
      </c>
      <c r="L10" s="39">
        <f>IF(K10="","",RANK(K10,$K$6:$K$23,0))</f>
        <v/>
      </c>
      <c r="M10" s="48" t="n"/>
    </row>
    <row r="11" ht="15" customHeight="1" s="20">
      <c r="A11" s="45" t="n">
        <v>6</v>
      </c>
      <c r="B11" s="46" t="inlineStr">
        <is>
          <t>Lab / Química</t>
        </is>
      </c>
      <c r="C11" s="46" t="inlineStr">
        <is>
          <t>Controle estatístico e incerteza de medição (labs acreditados)</t>
        </is>
      </c>
      <c r="D11" s="38" t="n"/>
      <c r="E11" s="38" t="n"/>
      <c r="F11" s="38" t="n"/>
      <c r="G11" s="38" t="n"/>
      <c r="H11" s="38" t="n"/>
      <c r="I11" s="38" t="n"/>
      <c r="J11" s="38" t="n"/>
      <c r="K11" s="47">
        <f>IF(AND(COUNT(D11:J11)=7,$K$3&gt;0),SUMPRODUCT(D11:J11,$D$3:$J$3)/$K$3,"")</f>
        <v/>
      </c>
      <c r="L11" s="39">
        <f>IF(K11="","",RANK(K11,$K$6:$K$23,0))</f>
        <v/>
      </c>
      <c r="M11" s="48" t="n"/>
    </row>
    <row r="12" ht="23.85" customHeight="1" s="20">
      <c r="A12" s="45" t="n">
        <v>7</v>
      </c>
      <c r="B12" s="46" t="inlineStr">
        <is>
          <t>Lab / Química</t>
        </is>
      </c>
      <c r="C12" s="46" t="inlineStr">
        <is>
          <t>Resíduos químicos e produtos controlados: conformidade e documentação obrigatória</t>
        </is>
      </c>
      <c r="D12" s="38" t="n"/>
      <c r="E12" s="38" t="n"/>
      <c r="F12" s="38" t="n"/>
      <c r="G12" s="38" t="n"/>
      <c r="H12" s="38" t="n"/>
      <c r="I12" s="38" t="n"/>
      <c r="J12" s="38" t="n"/>
      <c r="K12" s="47">
        <f>IF(AND(COUNT(D12:J12)=7,$K$3&gt;0),SUMPRODUCT(D12:J12,$D$3:$J$3)/$K$3,"")</f>
        <v/>
      </c>
      <c r="L12" s="39">
        <f>IF(K12="","",RANK(K12,$K$6:$K$23,0))</f>
        <v/>
      </c>
      <c r="M12" s="48" t="n"/>
    </row>
    <row r="13" ht="23.85" customHeight="1" s="20">
      <c r="A13" s="45" t="n">
        <v>8</v>
      </c>
      <c r="B13" s="46" t="inlineStr">
        <is>
          <t>Lab / Química</t>
        </is>
      </c>
      <c r="C13" s="46" t="inlineStr">
        <is>
          <t>Captura automática de dados de instrumentos (balança, pHmetro etc.), sem redigitar</t>
        </is>
      </c>
      <c r="D13" s="38" t="n"/>
      <c r="E13" s="38" t="n"/>
      <c r="F13" s="38" t="n"/>
      <c r="G13" s="38" t="n"/>
      <c r="H13" s="38" t="n"/>
      <c r="I13" s="38" t="n"/>
      <c r="J13" s="38" t="n"/>
      <c r="K13" s="47">
        <f>IF(AND(COUNT(D13:J13)=7,$K$3&gt;0),SUMPRODUCT(D13:J13,$D$3:$J$3)/$K$3,"")</f>
        <v/>
      </c>
      <c r="L13" s="39">
        <f>IF(K13="","",RANK(K13,$K$6:$K$23,0))</f>
        <v/>
      </c>
      <c r="M13" s="48" t="n"/>
    </row>
    <row r="14" ht="23.85" customHeight="1" s="20">
      <c r="A14" s="45" t="n">
        <v>9</v>
      </c>
      <c r="B14" s="46" t="inlineStr">
        <is>
          <t>Lab / Química</t>
        </is>
      </c>
      <c r="C14" s="46" t="inlineStr">
        <is>
          <t>Portal do cliente para labs prestadores: solicitar análise, acompanhar, baixar laudo</t>
        </is>
      </c>
      <c r="D14" s="38" t="n"/>
      <c r="E14" s="38" t="n"/>
      <c r="F14" s="38" t="n"/>
      <c r="G14" s="38" t="n"/>
      <c r="H14" s="38" t="n"/>
      <c r="I14" s="38" t="n"/>
      <c r="J14" s="38" t="n"/>
      <c r="K14" s="47">
        <f>IF(AND(COUNT(D14:J14)=7,$K$3&gt;0),SUMPRODUCT(D14:J14,$D$3:$J$3)/$K$3,"")</f>
        <v/>
      </c>
      <c r="L14" s="39">
        <f>IF(K14="","",RANK(K14,$K$6:$K$23,0))</f>
        <v/>
      </c>
      <c r="M14" s="48" t="n"/>
    </row>
    <row r="15" ht="23.85" customHeight="1" s="20">
      <c r="A15" s="45" t="n">
        <v>10</v>
      </c>
      <c r="B15" s="46" t="inlineStr">
        <is>
          <t>Lab / Química</t>
        </is>
      </c>
      <c r="C15" s="46" t="inlineStr">
        <is>
          <t>Gestão de formulações para pequenas indústrias (versões de receita, custo, ficha técnica)</t>
        </is>
      </c>
      <c r="D15" s="38" t="n"/>
      <c r="E15" s="38" t="n"/>
      <c r="F15" s="38" t="n"/>
      <c r="G15" s="38" t="n"/>
      <c r="H15" s="38" t="n"/>
      <c r="I15" s="38" t="n"/>
      <c r="J15" s="38" t="n"/>
      <c r="K15" s="47">
        <f>IF(AND(COUNT(D15:J15)=7,$K$3&gt;0),SUMPRODUCT(D15:J15,$D$3:$J$3)/$K$3,"")</f>
        <v/>
      </c>
      <c r="L15" s="39">
        <f>IF(K15="","",RANK(K15,$K$6:$K$23,0))</f>
        <v/>
      </c>
      <c r="M15" s="48" t="n"/>
    </row>
    <row r="16" ht="23.85" customHeight="1" s="20">
      <c r="A16" s="45" t="n">
        <v>11</v>
      </c>
      <c r="B16" s="46" t="inlineStr">
        <is>
          <t>IA</t>
        </is>
      </c>
      <c r="C16" s="46" t="inlineStr">
        <is>
          <t>Assistente que responde perguntas sobre o manual de qualidade e os POPs da empresa</t>
        </is>
      </c>
      <c r="D16" s="38" t="n"/>
      <c r="E16" s="38" t="n"/>
      <c r="F16" s="38" t="n"/>
      <c r="G16" s="38" t="n"/>
      <c r="H16" s="38" t="n"/>
      <c r="I16" s="38" t="n"/>
      <c r="J16" s="38" t="n"/>
      <c r="K16" s="47">
        <f>IF(AND(COUNT(D16:J16)=7,$K$3&gt;0),SUMPRODUCT(D16:J16,$D$3:$J$3)/$K$3,"")</f>
        <v/>
      </c>
      <c r="L16" s="39">
        <f>IF(K16="","",RANK(K16,$K$6:$K$23,0))</f>
        <v/>
      </c>
      <c r="M16" s="48" t="n"/>
    </row>
    <row r="17" ht="23.85" customHeight="1" s="20">
      <c r="A17" s="45" t="n">
        <v>12</v>
      </c>
      <c r="B17" s="46" t="inlineStr">
        <is>
          <t>IA</t>
        </is>
      </c>
      <c r="C17" s="46" t="inlineStr">
        <is>
          <t>Leitura automática de laudos de fornecedores em PDF, com conferência e alertas</t>
        </is>
      </c>
      <c r="D17" s="38" t="n"/>
      <c r="E17" s="38" t="n"/>
      <c r="F17" s="38" t="n"/>
      <c r="G17" s="38" t="n"/>
      <c r="H17" s="38" t="n"/>
      <c r="I17" s="38" t="n"/>
      <c r="J17" s="38" t="n"/>
      <c r="K17" s="47">
        <f>IF(AND(COUNT(D17:J17)=7,$K$3&gt;0),SUMPRODUCT(D17:J17,$D$3:$J$3)/$K$3,"")</f>
        <v/>
      </c>
      <c r="L17" s="39">
        <f>IF(K17="","",RANK(K17,$K$6:$K$23,0))</f>
        <v/>
      </c>
      <c r="M17" s="48" t="n"/>
    </row>
    <row r="18" ht="23.85" customHeight="1" s="20">
      <c r="A18" s="45" t="n">
        <v>13</v>
      </c>
      <c r="B18" s="46" t="inlineStr">
        <is>
          <t>QA (experiência do Will)</t>
        </is>
      </c>
      <c r="C18" s="46" t="inlineStr">
        <is>
          <t>Validação de sistemas computadorizados e testes automatizados como serviço</t>
        </is>
      </c>
      <c r="D18" s="38" t="n"/>
      <c r="E18" s="38" t="n"/>
      <c r="F18" s="38" t="n"/>
      <c r="G18" s="38" t="n"/>
      <c r="H18" s="38" t="n"/>
      <c r="I18" s="38" t="n"/>
      <c r="J18" s="38" t="n"/>
      <c r="K18" s="47">
        <f>IF(AND(COUNT(D18:J18)=7,$K$3&gt;0),SUMPRODUCT(D18:J18,$D$3:$J$3)/$K$3,"")</f>
        <v/>
      </c>
      <c r="L18" s="39">
        <f>IF(K18="","",RANK(K18,$K$6:$K$23,0))</f>
        <v/>
      </c>
      <c r="M18" s="48" t="n"/>
    </row>
    <row r="19" ht="23.85" customHeight="1" s="20">
      <c r="A19" s="45" t="n">
        <v>14</v>
      </c>
      <c r="B19" s="46" t="inlineStr">
        <is>
          <t>Cannabis</t>
        </is>
      </c>
      <c r="C19" s="46" t="inlineStr">
        <is>
          <t>Gestão para associações: pacientes, produção, rastreabilidade e prestação de contas</t>
        </is>
      </c>
      <c r="D19" s="38" t="n"/>
      <c r="E19" s="38" t="n"/>
      <c r="F19" s="38" t="n"/>
      <c r="G19" s="38" t="n"/>
      <c r="H19" s="38" t="n"/>
      <c r="I19" s="38" t="n"/>
      <c r="J19" s="38" t="n"/>
      <c r="K19" s="47">
        <f>IF(AND(COUNT(D19:J19)=7,$K$3&gt;0),SUMPRODUCT(D19:J19,$D$3:$J$3)/$K$3,"")</f>
        <v/>
      </c>
      <c r="L19" s="39">
        <f>IF(K19="","",RANK(K19,$K$6:$K$23,0))</f>
        <v/>
      </c>
      <c r="M19" s="48" t="n"/>
    </row>
    <row r="20" ht="15" customHeight="1" s="20">
      <c r="A20" s="45" t="n">
        <v>15</v>
      </c>
      <c r="B20" s="46" t="inlineStr">
        <is>
          <t>Cannabis</t>
        </is>
      </c>
      <c r="C20" s="46" t="inlineStr">
        <is>
          <t>Análise de canabinoides e controle de qualidade como serviço</t>
        </is>
      </c>
      <c r="D20" s="38" t="n"/>
      <c r="E20" s="38" t="n"/>
      <c r="F20" s="38" t="n"/>
      <c r="G20" s="38" t="n"/>
      <c r="H20" s="38" t="n"/>
      <c r="I20" s="38" t="n"/>
      <c r="J20" s="38" t="n"/>
      <c r="K20" s="47">
        <f>IF(AND(COUNT(D20:J20)=7,$K$3&gt;0),SUMPRODUCT(D20:J20,$D$3:$J$3)/$K$3,"")</f>
        <v/>
      </c>
      <c r="L20" s="39">
        <f>IF(K20="","",RANK(K20,$K$6:$K$23,0))</f>
        <v/>
      </c>
      <c r="M20" s="48" t="n"/>
    </row>
    <row r="21" ht="23.85" customHeight="1" s="20">
      <c r="A21" s="45" t="n">
        <v>16</v>
      </c>
      <c r="B21" s="46" t="inlineStr">
        <is>
          <t>Pequenos negócios</t>
        </is>
      </c>
      <c r="C21" s="46" t="inlineStr">
        <is>
          <t>Sistema com WhatsApp e agendamento (pet shops, tabacarias, clínicas)</t>
        </is>
      </c>
      <c r="D21" s="38" t="n"/>
      <c r="E21" s="38" t="n"/>
      <c r="F21" s="38" t="n"/>
      <c r="G21" s="38" t="n"/>
      <c r="H21" s="38" t="n"/>
      <c r="I21" s="38" t="n"/>
      <c r="J21" s="38" t="n"/>
      <c r="K21" s="47">
        <f>IF(AND(COUNT(D21:J21)=7,$K$3&gt;0),SUMPRODUCT(D21:J21,$D$3:$J$3)/$K$3,"")</f>
        <v/>
      </c>
      <c r="L21" s="39">
        <f>IF(K21="","",RANK(K21,$K$6:$K$23,0))</f>
        <v/>
      </c>
      <c r="M21" s="48" t="n"/>
    </row>
    <row r="22" ht="15" customHeight="1" s="20">
      <c r="A22" s="45" t="n">
        <v>17</v>
      </c>
      <c r="B22" s="46" t="inlineStr">
        <is>
          <t>Nova ideia</t>
        </is>
      </c>
      <c r="C22" s="48" t="n"/>
      <c r="D22" s="38" t="n"/>
      <c r="E22" s="38" t="n"/>
      <c r="F22" s="38" t="n"/>
      <c r="G22" s="38" t="n"/>
      <c r="H22" s="38" t="n"/>
      <c r="I22" s="38" t="n"/>
      <c r="J22" s="38" t="n"/>
      <c r="K22" s="47">
        <f>IF(AND(COUNT(D22:J22)=7,$K$3&gt;0),SUMPRODUCT(D22:J22,$D$3:$J$3)/$K$3,"")</f>
        <v/>
      </c>
      <c r="L22" s="39">
        <f>IF(K22="","",RANK(K22,$K$6:$K$23,0))</f>
        <v/>
      </c>
      <c r="M22" s="48" t="n"/>
    </row>
    <row r="23" ht="15" customHeight="1" s="20">
      <c r="A23" s="45" t="n">
        <v>18</v>
      </c>
      <c r="B23" s="46" t="inlineStr">
        <is>
          <t>Nova ideia</t>
        </is>
      </c>
      <c r="C23" s="48" t="n"/>
      <c r="D23" s="38" t="n"/>
      <c r="E23" s="38" t="n"/>
      <c r="F23" s="38" t="n"/>
      <c r="G23" s="38" t="n"/>
      <c r="H23" s="38" t="n"/>
      <c r="I23" s="38" t="n"/>
      <c r="J23" s="38" t="n"/>
      <c r="K23" s="47">
        <f>IF(AND(COUNT(D23:J23)=7,$K$3&gt;0),SUMPRODUCT(D23:J23,$D$3:$J$3)/$K$3,"")</f>
        <v/>
      </c>
      <c r="L23" s="39">
        <f>IF(K23="","",RANK(K23,$K$6:$K$23,0))</f>
        <v/>
      </c>
      <c r="M23" s="48" t="n"/>
    </row>
  </sheetData>
  <conditionalFormatting sqref="K6:K23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sqref="D5:J23" showDropDown="0" showInputMessage="0" showErrorMessage="1" allowBlank="1" errorTitle="Nota inválida" error="Use um número inteiro de 1 a 5.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1" min="1" max="1"/>
    <col width="44" customWidth="1" style="31" min="2" max="2"/>
    <col width="46" customWidth="1" style="31" min="3" max="3"/>
    <col width="52" customWidth="1" style="31" min="4" max="4"/>
  </cols>
  <sheetData>
    <row r="1" ht="17.35" customHeight="1" s="20">
      <c r="A1" s="35" t="inlineStr">
        <is>
          <t>O que significa cada nota</t>
        </is>
      </c>
    </row>
    <row r="3" ht="15" customHeight="1" s="20">
      <c r="A3" s="40" t="inlineStr">
        <is>
          <t>Critério</t>
        </is>
      </c>
      <c r="B3" s="40" t="inlineStr">
        <is>
          <t>Pergunta-chave</t>
        </is>
      </c>
      <c r="C3" s="40" t="inlineStr">
        <is>
          <t>Nota 1 significa</t>
        </is>
      </c>
      <c r="D3" s="40" t="inlineStr">
        <is>
          <t>Nota 5 significa</t>
        </is>
      </c>
    </row>
    <row r="4" ht="23.85" customHeight="1" s="20">
      <c r="A4" s="49" t="inlineStr">
        <is>
          <t>Dor real e frequente</t>
        </is>
      </c>
      <c r="B4" s="46" t="inlineStr">
        <is>
          <t>Isso incomoda de verdade e acontece com frequência?</t>
        </is>
      </c>
      <c r="C4" s="46" t="inlineStr">
        <is>
          <t>Incômodo raro; as pessoas convivem bem com isso</t>
        </is>
      </c>
      <c r="D4" s="46" t="inlineStr">
        <is>
          <t>Acontece todo dia/semana e gera retrabalho, erro ou prejuízo</t>
        </is>
      </c>
    </row>
    <row r="5" ht="15" customHeight="1" s="20">
      <c r="A5" s="49" t="inlineStr">
        <is>
          <t>Já gastam tempo/dinheiro com isso</t>
        </is>
      </c>
      <c r="B5" s="46" t="inlineStr">
        <is>
          <t>Como resolvem hoje e quanto custa?</t>
        </is>
      </c>
      <c r="C5" s="46" t="inlineStr">
        <is>
          <t>Ninguém gasta nada nem se preocupa em resolver</t>
        </is>
      </c>
      <c r="D5" s="46" t="inlineStr">
        <is>
          <t>Já pagam por sistema, planilha cara ou horas de funcionário</t>
        </is>
      </c>
    </row>
    <row r="6" ht="23.85" customHeight="1" s="20">
      <c r="A6" s="49" t="inlineStr">
        <is>
          <t>Mercado acessível (nº de clientes + acesso)</t>
        </is>
      </c>
      <c r="B6" s="46" t="inlineStr">
        <is>
          <t>Quantos clientes existem e vocês chegam neles?</t>
        </is>
      </c>
      <c r="C6" s="46" t="inlineStr">
        <is>
          <t>Poucos clientes e sem contato nenhum</t>
        </is>
      </c>
      <c r="D6" s="46" t="inlineStr">
        <is>
          <t>Muitos clientes e vocês têm acesso direto (rede do Lucas, listas públicas)</t>
        </is>
      </c>
    </row>
    <row r="7" ht="15" customHeight="1" s="20">
      <c r="A7" s="49" t="inlineStr">
        <is>
          <t>Pouca concorrência</t>
        </is>
      </c>
      <c r="B7" s="46" t="inlineStr">
        <is>
          <t>Já existe solução boa e barata?</t>
        </is>
      </c>
      <c r="C7" s="46" t="inlineStr">
        <is>
          <t>Vários sistemas maduros e baratos</t>
        </is>
      </c>
      <c r="D7" s="46" t="inlineStr">
        <is>
          <t>Quase ninguém atende esse nicho, ou atende mal</t>
        </is>
      </c>
    </row>
    <row r="8" ht="23.85" customHeight="1" s="20">
      <c r="A8" s="49" t="inlineStr">
        <is>
          <t>Pouca regulação / risco</t>
        </is>
      </c>
      <c r="B8" s="46" t="inlineStr">
        <is>
          <t>Erro do sistema gera problema legal ou de segurança?</t>
        </is>
      </c>
      <c r="C8" s="46" t="inlineStr">
        <is>
          <t>Exige certificação/validação pesada e erro é grave</t>
        </is>
      </c>
      <c r="D8" s="46" t="inlineStr">
        <is>
          <t>Sem exigência regulatória; erro tem baixo impacto</t>
        </is>
      </c>
    </row>
    <row r="9" ht="15" customHeight="1" s="20">
      <c r="A9" s="49" t="inlineStr">
        <is>
          <t>MVP rápido de fazer</t>
        </is>
      </c>
      <c r="B9" s="46" t="inlineStr">
        <is>
          <t>Dá para ter uma versão usável em poucas semanas?</t>
        </is>
      </c>
      <c r="C9" s="46" t="inlineStr">
        <is>
          <t>Meses de trabalho, muitas integrações</t>
        </is>
      </c>
      <c r="D9" s="46" t="inlineStr">
        <is>
          <t>Versão simples e útil em 2 a 4 semanas</t>
        </is>
      </c>
    </row>
    <row r="10" ht="15" customHeight="1" s="20">
      <c r="A10" s="49" t="inlineStr">
        <is>
          <t>Receita recorrente</t>
        </is>
      </c>
      <c r="B10" s="46" t="inlineStr">
        <is>
          <t>O cliente pagaria mensalidade?</t>
        </is>
      </c>
      <c r="C10" s="46" t="inlineStr">
        <is>
          <t>Venda única, uso esporádico</t>
        </is>
      </c>
      <c r="D10" s="46" t="inlineStr">
        <is>
          <t>Uso contínuo; mensalidade natural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31" min="1" max="1"/>
    <col width="9" customWidth="1" style="31" min="2" max="2"/>
    <col width="70" customWidth="1" style="31" min="3" max="3"/>
    <col width="42" customWidth="1" style="31" min="4" max="4"/>
    <col width="50" customWidth="1" style="31" min="5" max="5"/>
  </cols>
  <sheetData>
    <row r="1" ht="17.35" customHeight="1" s="20">
      <c r="A1" s="35" t="inlineStr">
        <is>
          <t>Roteiro da conversa com o Lucas (30 a 45 min)</t>
        </is>
      </c>
    </row>
    <row r="2" ht="42" customHeight="1" s="20">
      <c r="A2" s="50" t="inlineStr">
        <is>
          <t>Regras: perguntar sobre o PASSADO (o que aconteceu) e não sobre o futuro (o que você compraria). Não apresentar solução nem ideia pronta. Anotar frases exatas. Pedir exemplos. Sem dados confidenciais da empresa dele.</t>
        </is>
      </c>
    </row>
    <row r="4" ht="15" customHeight="1" s="20">
      <c r="A4" s="40" t="inlineStr">
        <is>
          <t>Bloco</t>
        </is>
      </c>
      <c r="B4" s="40" t="inlineStr">
        <is>
          <t>Tempo</t>
        </is>
      </c>
      <c r="C4" s="40" t="inlineStr">
        <is>
          <t>Pergunta</t>
        </is>
      </c>
      <c r="D4" s="40" t="inlineStr">
        <is>
          <t>O que estamos tentando descobrir</t>
        </is>
      </c>
      <c r="E4" s="40" t="inlineStr">
        <is>
          <t>Anotações</t>
        </is>
      </c>
    </row>
    <row r="5" ht="45" customHeight="1" s="20">
      <c r="A5" s="49" t="inlineStr">
        <is>
          <t>1. Abertura</t>
        </is>
      </c>
      <c r="B5" s="46" t="inlineStr">
        <is>
          <t>2 min</t>
        </is>
      </c>
      <c r="C5" s="46" t="inlineStr">
        <is>
          <t>Explicar: 'Não vou te vender nada; quero entender como é o seu dia e onde trava.' Combinar: sem nomes de clientes nem dados internos da empresa.</t>
        </is>
      </c>
      <c r="D5" s="46" t="inlineStr">
        <is>
          <t>Deixar ele confortável e definir o limite de confidencialidade</t>
        </is>
      </c>
      <c r="E5" s="48" t="n"/>
    </row>
    <row r="6" ht="45" customHeight="1" s="20">
      <c r="A6" s="49" t="inlineStr">
        <is>
          <t>2. Contexto</t>
        </is>
      </c>
      <c r="B6" s="46" t="inlineStr">
        <is>
          <t>5 min</t>
        </is>
      </c>
      <c r="C6" s="46" t="inlineStr">
        <is>
          <t>Em que tipo de empresa/laboratório você trabalha e o que ele faz (análises, produção, controle de qualidade)?</t>
        </is>
      </c>
      <c r="D6" s="46" t="inlineStr">
        <is>
          <t>Setor exato e tipo de operação</t>
        </is>
      </c>
      <c r="E6" s="48" t="n"/>
    </row>
    <row r="7" ht="45" customHeight="1" s="20">
      <c r="A7" s="49" t="inlineStr">
        <is>
          <t>2. Contexto</t>
        </is>
      </c>
      <c r="B7" s="46" t="n"/>
      <c r="C7" s="46" t="inlineStr">
        <is>
          <t>Quantas pessoas no lab? Quantas amostras/análises por semana, mais ou menos?</t>
        </is>
      </c>
      <c r="D7" s="46" t="inlineStr">
        <is>
          <t>Porte e volume</t>
        </is>
      </c>
      <c r="E7" s="48" t="n"/>
    </row>
    <row r="8" ht="45" customHeight="1" s="20">
      <c r="A8" s="49" t="inlineStr">
        <is>
          <t>2. Contexto</t>
        </is>
      </c>
      <c r="B8" s="46" t="n"/>
      <c r="C8" s="46" t="inlineStr">
        <is>
          <t>Que sistemas ou ferramentas vocês usam hoje (planilha, sistema, papel, WhatsApp)?</t>
        </is>
      </c>
      <c r="D8" s="46" t="inlineStr">
        <is>
          <t>Como o trabalho é organizado hoje</t>
        </is>
      </c>
      <c r="E8" s="48" t="n"/>
    </row>
    <row r="9" ht="45" customHeight="1" s="20">
      <c r="A9" s="49" t="inlineStr">
        <is>
          <t>3. Dia a dia</t>
        </is>
      </c>
      <c r="B9" s="46" t="inlineStr">
        <is>
          <t>10 min</t>
        </is>
      </c>
      <c r="C9" s="46" t="inlineStr">
        <is>
          <t>Me conta o seu último dia de trabalho, do começo ao fim.</t>
        </is>
      </c>
      <c r="D9" s="46" t="inlineStr">
        <is>
          <t>Fluxo real do trabalho, sem filtro</t>
        </is>
      </c>
      <c r="E9" s="48" t="n"/>
    </row>
    <row r="10" ht="45" customHeight="1" s="20">
      <c r="A10" s="49" t="inlineStr">
        <is>
          <t>3. Dia a dia</t>
        </is>
      </c>
      <c r="B10" s="46" t="n"/>
      <c r="C10" s="46" t="inlineStr">
        <is>
          <t>O que você precisou refazer ou digitar duas vezes nesta semana?</t>
        </is>
      </c>
      <c r="D10" s="46" t="inlineStr">
        <is>
          <t>Retrabalho (sinal forte de dor)</t>
        </is>
      </c>
      <c r="E10" s="48" t="n"/>
    </row>
    <row r="11" ht="45" customHeight="1" s="20">
      <c r="A11" s="49" t="inlineStr">
        <is>
          <t>3. Dia a dia</t>
        </is>
      </c>
      <c r="B11" s="46" t="n"/>
      <c r="C11" s="46" t="inlineStr">
        <is>
          <t>O que você perdeu tempo procurando (documento, resultado, lote, certificado)?</t>
        </is>
      </c>
      <c r="D11" s="46" t="inlineStr">
        <is>
          <t>Falhas de organização e rastreio</t>
        </is>
      </c>
      <c r="E11" s="48" t="n"/>
    </row>
    <row r="12" ht="45" customHeight="1" s="20">
      <c r="A12" s="49" t="inlineStr">
        <is>
          <t>3. Dia a dia</t>
        </is>
      </c>
      <c r="B12" s="46" t="n"/>
      <c r="C12" s="46" t="inlineStr">
        <is>
          <t>O que ainda está em planilha, papel ou WhatsApp e não deveria?</t>
        </is>
      </c>
      <c r="D12" s="46" t="inlineStr">
        <is>
          <t>Candidatos a automação</t>
        </is>
      </c>
      <c r="E12" s="48" t="n"/>
    </row>
    <row r="13" ht="45" customHeight="1" s="20">
      <c r="A13" s="49" t="inlineStr">
        <is>
          <t>4. Dores e consequências</t>
        </is>
      </c>
      <c r="B13" s="46" t="inlineStr">
        <is>
          <t>10 min</t>
        </is>
      </c>
      <c r="C13" s="46" t="inlineStr">
        <is>
          <t>Qual foi o último problema que apareceu numa auditoria, cliente ou análise? O que aconteceu?</t>
        </is>
      </c>
      <c r="D13" s="46" t="inlineStr">
        <is>
          <t>Dores com consequência real</t>
        </is>
      </c>
      <c r="E13" s="48" t="n"/>
    </row>
    <row r="14" ht="45" customHeight="1" s="20">
      <c r="A14" s="49" t="inlineStr">
        <is>
          <t>4. Dores e consequências</t>
        </is>
      </c>
      <c r="B14" s="46" t="n"/>
      <c r="C14" s="46" t="inlineStr">
        <is>
          <t>Já houve um erro que custou dinheiro, lote perdido ou retrabalho grande? Como foi?</t>
        </is>
      </c>
      <c r="D14" s="46" t="inlineStr">
        <is>
          <t>Tamanho do prejuízo (base para preço)</t>
        </is>
      </c>
      <c r="E14" s="48" t="n"/>
    </row>
    <row r="15" ht="45" customHeight="1" s="20">
      <c r="A15" s="49" t="inlineStr">
        <is>
          <t>4. Dores e consequências</t>
        </is>
      </c>
      <c r="B15" s="46" t="n"/>
      <c r="C15" s="46" t="inlineStr">
        <is>
          <t>O que mais consome o seu tempo por semana e que uma pessoa a mais no lab resolveria?</t>
        </is>
      </c>
      <c r="D15" s="46" t="inlineStr">
        <is>
          <t>Ranking de dores por tempo</t>
        </is>
      </c>
      <c r="E15" s="48" t="n"/>
    </row>
    <row r="16" ht="45" customHeight="1" s="20">
      <c r="A16" s="49" t="inlineStr">
        <is>
          <t>5. Dinheiro e decisão</t>
        </is>
      </c>
      <c r="B16" s="46" t="inlineStr">
        <is>
          <t>8 min</t>
        </is>
      </c>
      <c r="C16" s="46" t="inlineStr">
        <is>
          <t>Vocês já pagam por algum sistema? Quanto, mais ou menos?</t>
        </is>
      </c>
      <c r="D16" s="46" t="inlineStr">
        <is>
          <t>Disposição a pagar e faixa de preço</t>
        </is>
      </c>
      <c r="E16" s="48" t="n"/>
    </row>
    <row r="17" ht="45" customHeight="1" s="20">
      <c r="A17" s="49" t="inlineStr">
        <is>
          <t>5. Dinheiro e decisão</t>
        </is>
      </c>
      <c r="B17" s="46" t="n"/>
      <c r="C17" s="46" t="inlineStr">
        <is>
          <t>Quem decide comprar um sistema ou ferramenta nova? Como é esse processo?</t>
        </is>
      </c>
      <c r="D17" s="46" t="inlineStr">
        <is>
          <t>Quem paga e quanto demora vender</t>
        </is>
      </c>
      <c r="E17" s="48" t="n"/>
    </row>
    <row r="18" ht="45" customHeight="1" s="20">
      <c r="A18" s="49" t="inlineStr">
        <is>
          <t>5. Dinheiro e decisão</t>
        </is>
      </c>
      <c r="B18" s="46" t="n"/>
      <c r="C18" s="46" t="inlineStr">
        <is>
          <t>Já tentaram implantar algum sistema e abandonaram? Por quê?</t>
        </is>
      </c>
      <c r="D18" s="46" t="inlineStr">
        <is>
          <t>Motivos de fracasso a evitar</t>
        </is>
      </c>
      <c r="E18" s="48" t="n"/>
    </row>
    <row r="19" ht="45" customHeight="1" s="20">
      <c r="A19" s="49" t="inlineStr">
        <is>
          <t>6. Rede e mercado</t>
        </is>
      </c>
      <c r="B19" s="46" t="inlineStr">
        <is>
          <t>8 min</t>
        </is>
      </c>
      <c r="C19" s="46" t="inlineStr">
        <is>
          <t>Quem mais tem esse problema? Conhece laboratórios pequenos que trabalham sem sistema?</t>
        </is>
      </c>
      <c r="D19" s="46" t="inlineStr">
        <is>
          <t>Tamanho e perfil do mercado</t>
        </is>
      </c>
      <c r="E19" s="48" t="n"/>
    </row>
    <row r="20" ht="45" customHeight="1" s="20">
      <c r="A20" s="49" t="inlineStr">
        <is>
          <t>6. Rede e mercado</t>
        </is>
      </c>
      <c r="B20" s="46" t="n"/>
      <c r="C20" s="46" t="inlineStr">
        <is>
          <t>Você consegue me apresentar 3 pessoas do setor para eu conversar 20 minutos?</t>
        </is>
      </c>
      <c r="D20" s="46" t="inlineStr">
        <is>
          <t>Acesso a entrevistas (Etapa 3)</t>
        </is>
      </c>
      <c r="E20" s="48" t="n"/>
    </row>
    <row r="21" ht="45" customHeight="1" s="20">
      <c r="A21" s="49" t="inlineStr">
        <is>
          <t>6. Rede e mercado</t>
        </is>
      </c>
      <c r="B21" s="46" t="n"/>
      <c r="C21" s="46" t="inlineStr">
        <is>
          <t>Onde o pessoal do setor se informa (grupos, eventos, associações, sindicatos)?</t>
        </is>
      </c>
      <c r="D21" s="46" t="inlineStr">
        <is>
          <t>Canais para alcançar clientes</t>
        </is>
      </c>
      <c r="E21" s="48" t="n"/>
    </row>
    <row r="22" ht="45" customHeight="1" s="20">
      <c r="A22" s="49" t="inlineStr">
        <is>
          <t>7. Fechamento</t>
        </is>
      </c>
      <c r="B22" s="46" t="inlineStr">
        <is>
          <t>2 min</t>
        </is>
      </c>
      <c r="C22" s="46" t="inlineStr">
        <is>
          <t>Se você pudesse resolver uma única coisa amanhã, qual seria?</t>
        </is>
      </c>
      <c r="D22" s="46" t="inlineStr">
        <is>
          <t>A dor número 1 na visão dele</t>
        </is>
      </c>
      <c r="E22" s="48" t="n"/>
    </row>
    <row r="23" ht="45" customHeight="1" s="20">
      <c r="A23" s="49" t="inlineStr">
        <is>
          <t>7. Fechamento</t>
        </is>
      </c>
      <c r="B23" s="46" t="n"/>
      <c r="C23" s="46" t="inlineStr">
        <is>
          <t>Posso te mandar um resumo do que anotei para você corrigir? Combinamos uma próxima conversa?</t>
        </is>
      </c>
      <c r="D23" s="46" t="inlineStr">
        <is>
          <t>Validação e próximo passo</t>
        </is>
      </c>
      <c r="E23" s="4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1" min="1" max="1"/>
    <col width="52" customWidth="1" style="31" min="2" max="2"/>
    <col width="18" customWidth="1" style="31" min="3" max="3"/>
    <col width="22" customWidth="1" style="31" min="4" max="4"/>
    <col width="28" customWidth="1" style="31" min="5" max="5"/>
    <col width="22" customWidth="1" style="31" min="6" max="6"/>
    <col width="20" customWidth="1" style="31" min="7" max="8"/>
    <col width="14" customWidth="1" style="31" min="9" max="9"/>
  </cols>
  <sheetData>
    <row r="1" ht="17.35" customHeight="1" s="20">
      <c r="A1" s="35" t="inlineStr">
        <is>
          <t>Registro de dores (preencher durante/depois da conversa)</t>
        </is>
      </c>
    </row>
    <row r="2" ht="15" customHeight="1" s="20">
      <c r="A2" s="36" t="inlineStr">
        <is>
          <t>Uma linha por dor. Depois, transfira as mais fortes para a aba Ideias (linhas 'Nova ideia') e pontue.</t>
        </is>
      </c>
    </row>
    <row r="4" ht="45" customHeight="1" s="20">
      <c r="A4" s="40" t="inlineStr">
        <is>
          <t>#</t>
        </is>
      </c>
      <c r="B4" s="40" t="inlineStr">
        <is>
          <t>Dor / situação (nas palavras dele)</t>
        </is>
      </c>
      <c r="C4" s="40" t="inlineStr">
        <is>
          <t>Com que frequência</t>
        </is>
      </c>
      <c r="D4" s="40" t="inlineStr">
        <is>
          <t>Tempo ou dinheiro perdido</t>
        </is>
      </c>
      <c r="E4" s="40" t="inlineStr">
        <is>
          <t>Como resolvem hoje</t>
        </is>
      </c>
      <c r="F4" s="40" t="inlineStr">
        <is>
          <t>Quem sofre com isso</t>
        </is>
      </c>
      <c r="G4" s="40" t="inlineStr">
        <is>
          <t>Quem paga / decide</t>
        </is>
      </c>
      <c r="H4" s="40" t="inlineStr">
        <is>
          <t>Ideia relacionada (nº na aba Ideias)</t>
        </is>
      </c>
      <c r="I4" s="40" t="inlineStr">
        <is>
          <t>Força da dor (1–5)</t>
        </is>
      </c>
    </row>
    <row r="5" ht="23.85" customHeight="1" s="20">
      <c r="A5" s="42" t="inlineStr">
        <is>
          <t>—</t>
        </is>
      </c>
      <c r="B5" s="42" t="inlineStr">
        <is>
          <t>Exemplo: 'toda semana perco uma tarde procurando o certificado do lote na pasta'</t>
        </is>
      </c>
      <c r="C5" s="42" t="inlineStr">
        <is>
          <t>Semanal</t>
        </is>
      </c>
      <c r="D5" s="42" t="inlineStr">
        <is>
          <t>Cerca de 4 h/semana</t>
        </is>
      </c>
      <c r="E5" s="42" t="inlineStr">
        <is>
          <t>Pasta no computador + planilha</t>
        </is>
      </c>
      <c r="F5" s="42" t="inlineStr">
        <is>
          <t>Analista de qualidade</t>
        </is>
      </c>
      <c r="G5" s="42" t="inlineStr">
        <is>
          <t>Gerente do lab</t>
        </is>
      </c>
      <c r="H5" s="42" t="n">
        <v>3</v>
      </c>
      <c r="I5" s="42" t="n">
        <v>4</v>
      </c>
    </row>
    <row r="6" ht="31.5" customHeight="1" s="20">
      <c r="A6" s="46" t="n">
        <v>1</v>
      </c>
      <c r="B6" s="48" t="n"/>
      <c r="C6" s="48" t="n"/>
      <c r="D6" s="48" t="n"/>
      <c r="E6" s="48" t="n"/>
      <c r="F6" s="48" t="n"/>
      <c r="G6" s="48" t="n"/>
      <c r="H6" s="48" t="n"/>
      <c r="I6" s="48" t="n"/>
    </row>
    <row r="7" ht="31.5" customHeight="1" s="20">
      <c r="A7" s="46" t="n">
        <v>2</v>
      </c>
      <c r="B7" s="48" t="n"/>
      <c r="C7" s="48" t="n"/>
      <c r="D7" s="48" t="n"/>
      <c r="E7" s="48" t="n"/>
      <c r="F7" s="48" t="n"/>
      <c r="G7" s="48" t="n"/>
      <c r="H7" s="48" t="n"/>
      <c r="I7" s="48" t="n"/>
    </row>
    <row r="8" ht="31.5" customHeight="1" s="20">
      <c r="A8" s="46" t="n">
        <v>3</v>
      </c>
      <c r="B8" s="48" t="n"/>
      <c r="C8" s="48" t="n"/>
      <c r="D8" s="48" t="n"/>
      <c r="E8" s="48" t="n"/>
      <c r="F8" s="48" t="n"/>
      <c r="G8" s="48" t="n"/>
      <c r="H8" s="48" t="n"/>
      <c r="I8" s="48" t="n"/>
    </row>
    <row r="9" ht="31.5" customHeight="1" s="20">
      <c r="A9" s="46" t="n">
        <v>4</v>
      </c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31.5" customHeight="1" s="20">
      <c r="A10" s="46" t="n">
        <v>5</v>
      </c>
      <c r="B10" s="48" t="n"/>
      <c r="C10" s="48" t="n"/>
      <c r="D10" s="48" t="n"/>
      <c r="E10" s="48" t="n"/>
      <c r="F10" s="48" t="n"/>
      <c r="G10" s="48" t="n"/>
      <c r="H10" s="48" t="n"/>
      <c r="I10" s="48" t="n"/>
    </row>
    <row r="11" ht="31.5" customHeight="1" s="20">
      <c r="A11" s="46" t="n">
        <v>6</v>
      </c>
      <c r="B11" s="48" t="n"/>
      <c r="C11" s="48" t="n"/>
      <c r="D11" s="48" t="n"/>
      <c r="E11" s="48" t="n"/>
      <c r="F11" s="48" t="n"/>
      <c r="G11" s="48" t="n"/>
      <c r="H11" s="48" t="n"/>
      <c r="I11" s="48" t="n"/>
    </row>
    <row r="12" ht="31.5" customHeight="1" s="20">
      <c r="A12" s="46" t="n">
        <v>7</v>
      </c>
      <c r="B12" s="48" t="n"/>
      <c r="C12" s="48" t="n"/>
      <c r="D12" s="48" t="n"/>
      <c r="E12" s="48" t="n"/>
      <c r="F12" s="48" t="n"/>
      <c r="G12" s="48" t="n"/>
      <c r="H12" s="48" t="n"/>
      <c r="I12" s="48" t="n"/>
    </row>
    <row r="13" ht="31.5" customHeight="1" s="20">
      <c r="A13" s="46" t="n">
        <v>8</v>
      </c>
      <c r="B13" s="48" t="n"/>
      <c r="C13" s="48" t="n"/>
      <c r="D13" s="48" t="n"/>
      <c r="E13" s="48" t="n"/>
      <c r="F13" s="48" t="n"/>
      <c r="G13" s="48" t="n"/>
      <c r="H13" s="48" t="n"/>
      <c r="I13" s="48" t="n"/>
    </row>
    <row r="14" ht="31.5" customHeight="1" s="20">
      <c r="A14" s="46" t="n">
        <v>9</v>
      </c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31.5" customHeight="1" s="20">
      <c r="A15" s="46" t="n">
        <v>10</v>
      </c>
      <c r="B15" s="48" t="n"/>
      <c r="C15" s="48" t="n"/>
      <c r="D15" s="48" t="n"/>
      <c r="E15" s="48" t="n"/>
      <c r="F15" s="48" t="n"/>
      <c r="G15" s="48" t="n"/>
      <c r="H15" s="48" t="n"/>
      <c r="I15" s="48" t="n"/>
    </row>
    <row r="16" ht="31.5" customHeight="1" s="20">
      <c r="A16" s="46" t="n">
        <v>11</v>
      </c>
      <c r="B16" s="48" t="n"/>
      <c r="C16" s="48" t="n"/>
      <c r="D16" s="48" t="n"/>
      <c r="E16" s="48" t="n"/>
      <c r="F16" s="48" t="n"/>
      <c r="G16" s="48" t="n"/>
      <c r="H16" s="48" t="n"/>
      <c r="I16" s="48" t="n"/>
    </row>
    <row r="17" ht="31.5" customHeight="1" s="20">
      <c r="A17" s="46" t="n">
        <v>12</v>
      </c>
      <c r="B17" s="48" t="n"/>
      <c r="C17" s="48" t="n"/>
      <c r="D17" s="48" t="n"/>
      <c r="E17" s="48" t="n"/>
      <c r="F17" s="48" t="n"/>
      <c r="G17" s="48" t="n"/>
      <c r="H17" s="48" t="n"/>
      <c r="I17" s="48" t="n"/>
    </row>
  </sheetData>
  <dataValidations count="1">
    <dataValidation sqref="I6:I17" showDropDown="0" showInputMessage="0" showErrorMessage="1" allowBlank="1" errorTitle="Nota inválida" error="Use um número inteiro de 1 a 5.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20" min="1" max="1"/>
    <col width="55" customWidth="1" style="20" min="2" max="2"/>
    <col width="35" customWidth="1" style="20" min="3" max="3"/>
    <col width="30" customWidth="1" style="20" min="4" max="4"/>
    <col width="24" customWidth="1" style="20" min="5" max="5"/>
    <col width="22" customWidth="1" style="20" min="6" max="6"/>
    <col width="22" customWidth="1" style="20" min="7" max="7"/>
    <col width="28" customWidth="1" style="20" min="8" max="8"/>
    <col width="20" customWidth="1" style="20" min="9" max="9"/>
    <col width="55" customWidth="1" style="20" min="10" max="10"/>
  </cols>
  <sheetData>
    <row r="1">
      <c r="A1" s="51" t="inlineStr">
        <is>
          <t>MATRIZ DE VALIDAÇÃO — transforme hipóteses em evidências</t>
        </is>
      </c>
    </row>
    <row r="2">
      <c r="A2" s="52" t="inlineStr">
        <is>
          <t>Regra: só aumente a nota quando houver evidência observável (entrevista, processo real, orçamento, pagamento, piloto ou dado público).</t>
        </is>
      </c>
    </row>
    <row r="4">
      <c r="A4" s="53" t="inlineStr">
        <is>
          <t>ID</t>
        </is>
      </c>
      <c r="B4" s="53" t="inlineStr">
        <is>
          <t>Ideia</t>
        </is>
      </c>
      <c r="C4" s="53" t="inlineStr">
        <is>
          <t>Evidência de dor</t>
        </is>
      </c>
      <c r="D4" s="53" t="inlineStr">
        <is>
          <t>Como resolvem hoje</t>
        </is>
      </c>
      <c r="E4" s="53" t="inlineStr">
        <is>
          <t>Tempo/dinheiro perdido</t>
        </is>
      </c>
      <c r="F4" s="53" t="inlineStr">
        <is>
          <t>Quem usa</t>
        </is>
      </c>
      <c r="G4" s="53" t="inlineStr">
        <is>
          <t>Quem paga/decide</t>
        </is>
      </c>
      <c r="H4" s="53" t="inlineStr">
        <is>
          <t>Concorrentes encontrados</t>
        </is>
      </c>
      <c r="I4" s="53" t="inlineStr">
        <is>
          <t>Preço aceitável</t>
        </is>
      </c>
      <c r="J4" s="53" t="inlineStr">
        <is>
          <t>Próximo teste</t>
        </is>
      </c>
    </row>
    <row r="5">
      <c r="A5" s="25" t="n">
        <v>1</v>
      </c>
      <c r="B5" s="25" t="inlineStr">
        <is>
          <t>Controle de reagentes e estoque (validades, alertas, FISPQ, etiquetas com QR code)</t>
        </is>
      </c>
      <c r="C5" s="25" t="n"/>
      <c r="D5" s="25" t="n"/>
      <c r="E5" s="25" t="n"/>
      <c r="F5" s="25" t="n"/>
      <c r="G5" s="25" t="n"/>
      <c r="H5" s="25" t="n"/>
      <c r="I5" s="25" t="n"/>
      <c r="J5" s="25" t="inlineStr">
        <is>
          <t>Entrevistar 3–5 potenciais usuários; obter exemplo concreto e quantificar custo.</t>
        </is>
      </c>
    </row>
    <row r="6">
      <c r="A6" s="25" t="n">
        <v>2</v>
      </c>
      <c r="B6" s="25" t="inlineStr">
        <is>
          <t>Rastreio de amostras: recebimento → análise → laudo, com histórico completo</t>
        </is>
      </c>
      <c r="C6" s="25" t="n"/>
      <c r="D6" s="25" t="n"/>
      <c r="E6" s="25" t="n"/>
      <c r="F6" s="25" t="n"/>
      <c r="G6" s="25" t="n"/>
      <c r="H6" s="25" t="n"/>
      <c r="I6" s="25" t="n"/>
      <c r="J6" s="25" t="inlineStr">
        <is>
          <t>Entrevistar 3–5 potenciais usuários; obter exemplo concreto e quantificar custo.</t>
        </is>
      </c>
    </row>
    <row r="7">
      <c r="A7" s="25" t="n">
        <v>3</v>
      </c>
      <c r="B7" s="25" t="inlineStr">
        <is>
          <t>Emissão automática de laudos e certificados de análise a partir dos resultados</t>
        </is>
      </c>
      <c r="C7" s="25" t="n"/>
      <c r="D7" s="25" t="n"/>
      <c r="E7" s="25" t="n"/>
      <c r="F7" s="25" t="n"/>
      <c r="G7" s="25" t="n"/>
      <c r="H7" s="25" t="n"/>
      <c r="I7" s="25" t="n"/>
      <c r="J7" s="25" t="inlineStr">
        <is>
          <t>Entrevistar 3–5 potenciais usuários; obter exemplo concreto e quantificar custo.</t>
        </is>
      </c>
    </row>
    <row r="8">
      <c r="A8" s="25" t="n">
        <v>4</v>
      </c>
      <c r="B8" s="25" t="inlineStr">
        <is>
          <t>Gestão de equipamentos: calibração, manutenção e verificação, com agenda e alertas</t>
        </is>
      </c>
      <c r="C8" s="25" t="n"/>
      <c r="D8" s="25" t="n"/>
      <c r="E8" s="25" t="n"/>
      <c r="F8" s="25" t="n"/>
      <c r="G8" s="25" t="n"/>
      <c r="H8" s="25" t="n"/>
      <c r="I8" s="25" t="n"/>
      <c r="J8" s="25" t="inlineStr">
        <is>
          <t>Entrevistar 3–5 potenciais usuários; obter exemplo concreto e quantificar custo.</t>
        </is>
      </c>
    </row>
    <row r="9">
      <c r="A9" s="25" t="n">
        <v>5</v>
      </c>
      <c r="B9" s="25" t="inlineStr">
        <is>
          <t>Gestão da qualidade: POPs, treinamentos, não conformidades e auditorias</t>
        </is>
      </c>
      <c r="C9" s="25" t="n"/>
      <c r="D9" s="25" t="n"/>
      <c r="E9" s="25" t="n"/>
      <c r="F9" s="25" t="n"/>
      <c r="G9" s="25" t="n"/>
      <c r="H9" s="25" t="n"/>
      <c r="I9" s="25" t="n"/>
      <c r="J9" s="25" t="inlineStr">
        <is>
          <t>Entrevistar 3–5 potenciais usuários; obter exemplo concreto e quantificar custo.</t>
        </is>
      </c>
    </row>
    <row r="10">
      <c r="A10" s="25" t="n">
        <v>6</v>
      </c>
      <c r="B10" s="25" t="inlineStr">
        <is>
          <t>Controle estatístico e incerteza de medição (labs acreditados)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inlineStr">
        <is>
          <t>Entrevistar 3–5 potenciais usuários; obter exemplo concreto e quantificar custo.</t>
        </is>
      </c>
    </row>
    <row r="11">
      <c r="A11" s="25" t="n">
        <v>7</v>
      </c>
      <c r="B11" s="25" t="inlineStr">
        <is>
          <t>Resíduos químicos e produtos controlados: conformidade e documentação obrigatória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inlineStr">
        <is>
          <t>Entrevistar 3–5 potenciais usuários; obter exemplo concreto e quantificar custo.</t>
        </is>
      </c>
    </row>
    <row r="12">
      <c r="A12" s="25" t="n">
        <v>8</v>
      </c>
      <c r="B12" s="25" t="inlineStr">
        <is>
          <t>Captura automática de dados de instrumentos (balança, pHmetro etc.), sem redigitar</t>
        </is>
      </c>
      <c r="C12" s="25" t="n"/>
      <c r="D12" s="25" t="n"/>
      <c r="E12" s="25" t="n"/>
      <c r="F12" s="25" t="n"/>
      <c r="G12" s="25" t="n"/>
      <c r="H12" s="25" t="n"/>
      <c r="I12" s="25" t="n"/>
      <c r="J12" s="25" t="inlineStr">
        <is>
          <t>Entrevistar 3–5 potenciais usuários; obter exemplo concreto e quantificar custo.</t>
        </is>
      </c>
    </row>
    <row r="13">
      <c r="A13" s="25" t="n">
        <v>9</v>
      </c>
      <c r="B13" s="25" t="inlineStr">
        <is>
          <t>Portal do cliente para labs prestadores: solicitar análise, acompanhar, baixar laudo</t>
        </is>
      </c>
      <c r="C13" s="25" t="n"/>
      <c r="D13" s="25" t="n"/>
      <c r="E13" s="25" t="n"/>
      <c r="F13" s="25" t="n"/>
      <c r="G13" s="25" t="n"/>
      <c r="H13" s="25" t="n"/>
      <c r="I13" s="25" t="n"/>
      <c r="J13" s="25" t="inlineStr">
        <is>
          <t>Entrevistar 3–5 potenciais usuários; obter exemplo concreto e quantificar custo.</t>
        </is>
      </c>
    </row>
    <row r="14">
      <c r="A14" s="25" t="n">
        <v>10</v>
      </c>
      <c r="B14" s="25" t="inlineStr">
        <is>
          <t>Gestão de formulações para pequenas indústrias (versões de receita, custo, ficha técnica)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inlineStr">
        <is>
          <t>Entrevistar 3–5 potenciais usuários; obter exemplo concreto e quantificar custo.</t>
        </is>
      </c>
    </row>
    <row r="15">
      <c r="A15" s="25" t="n">
        <v>11</v>
      </c>
      <c r="B15" s="25" t="inlineStr">
        <is>
          <t>Assistente que responde perguntas sobre o manual de qualidade e os POPs da empresa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inlineStr">
        <is>
          <t>Entrevistar 3–5 potenciais usuários; obter exemplo concreto e quantificar custo.</t>
        </is>
      </c>
    </row>
    <row r="16">
      <c r="A16" s="25" t="n">
        <v>12</v>
      </c>
      <c r="B16" s="25" t="inlineStr">
        <is>
          <t>Leitura automática de laudos de fornecedores em PDF, com conferência e alertas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inlineStr">
        <is>
          <t>Entrevistar 3–5 potenciais usuários; obter exemplo concreto e quantificar custo.</t>
        </is>
      </c>
    </row>
    <row r="17">
      <c r="A17" s="25" t="n">
        <v>13</v>
      </c>
      <c r="B17" s="25" t="inlineStr">
        <is>
          <t>Validação de sistemas computadorizados e testes automatizados como serviço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inlineStr">
        <is>
          <t>Entrevistar 3–5 potenciais usuários; obter exemplo concreto e quantificar custo.</t>
        </is>
      </c>
    </row>
    <row r="18">
      <c r="A18" s="25" t="n">
        <v>14</v>
      </c>
      <c r="B18" s="25" t="inlineStr">
        <is>
          <t>Gestão para associações: pacientes, produção, rastreabilidade e prestação de contas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inlineStr">
        <is>
          <t>Entrevistar 3–5 potenciais usuários; obter exemplo concreto e quantificar custo.</t>
        </is>
      </c>
    </row>
    <row r="19">
      <c r="A19" s="25" t="n">
        <v>15</v>
      </c>
      <c r="B19" s="25" t="inlineStr">
        <is>
          <t>Análise de canabinoides e controle de qualidade como serviço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inlineStr">
        <is>
          <t>Entrevistar 3–5 potenciais usuários; obter exemplo concreto e quantificar custo.</t>
        </is>
      </c>
    </row>
    <row r="20">
      <c r="A20" s="25" t="n">
        <v>16</v>
      </c>
      <c r="B20" s="25" t="inlineStr">
        <is>
          <t>Sistema com WhatsApp e agendamento (pet shops, tabacarias, clínicas)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inlineStr">
        <is>
          <t>Entrevistar 3–5 potenciais usuários; obter exemplo concreto e quantificar custo.</t>
        </is>
      </c>
    </row>
  </sheetData>
  <autoFilter ref="A4:J20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20" min="1" max="1"/>
    <col width="25" customWidth="1" style="20" min="2" max="2"/>
    <col width="48" customWidth="1" style="20" min="3" max="3"/>
    <col width="32" customWidth="1" style="20" min="4" max="4"/>
    <col width="42" customWidth="1" style="20" min="5" max="5"/>
    <col width="18" customWidth="1" style="20" min="6" max="6"/>
  </cols>
  <sheetData>
    <row r="1">
      <c r="A1" s="51" t="inlineStr">
        <is>
          <t>PLANO DE AÇÃO — 14 dias para sair de ideias e chegar a evidência</t>
        </is>
      </c>
    </row>
    <row r="3">
      <c r="A3" s="54" t="inlineStr">
        <is>
          <t>Etapa</t>
        </is>
      </c>
      <c r="B3" s="54" t="inlineStr">
        <is>
          <t>Objetivo</t>
        </is>
      </c>
      <c r="C3" s="54" t="inlineStr">
        <is>
          <t>Atividade</t>
        </is>
      </c>
      <c r="D3" s="54" t="inlineStr">
        <is>
          <t>Saída esperada</t>
        </is>
      </c>
      <c r="E3" s="54" t="inlineStr">
        <is>
          <t>Critério de avanço</t>
        </is>
      </c>
      <c r="F3" s="54" t="inlineStr">
        <is>
          <t>Prazo sugerido</t>
        </is>
      </c>
    </row>
    <row r="4">
      <c r="A4" s="25" t="inlineStr">
        <is>
          <t>1. Escolha do nicho</t>
        </is>
      </c>
      <c r="B4" s="25" t="inlineStr">
        <is>
          <t>Reduzir dispersão</t>
        </is>
      </c>
      <c r="C4" s="25" t="inlineStr">
        <is>
          <t>Escolher 1 problema principal e 1 público pagante</t>
        </is>
      </c>
      <c r="D4" s="25" t="inlineStr">
        <is>
          <t>Hipótese de ICP + problema</t>
        </is>
      </c>
      <c r="E4" s="25" t="inlineStr">
        <is>
          <t>Problema ocorre semanalmente e tem custo percebido</t>
        </is>
      </c>
      <c r="F4" s="25" t="inlineStr">
        <is>
          <t>Dia 1</t>
        </is>
      </c>
    </row>
    <row r="5">
      <c r="A5" s="25" t="inlineStr">
        <is>
          <t>2. Entrevistas</t>
        </is>
      </c>
      <c r="B5" s="25" t="inlineStr">
        <is>
          <t>Testar dor passada</t>
        </is>
      </c>
      <c r="C5" s="25" t="inlineStr">
        <is>
          <t>Fazer 5 conversas usando o roteiro da planilha, sem vender solução</t>
        </is>
      </c>
      <c r="D5" s="25" t="inlineStr">
        <is>
          <t>5 relatos concretos</t>
        </is>
      </c>
      <c r="E5" s="25" t="inlineStr">
        <is>
          <t>≥3 relatam o mesmo problema com frequência</t>
        </is>
      </c>
      <c r="F5" s="25" t="inlineStr">
        <is>
          <t>Dias 2–5</t>
        </is>
      </c>
    </row>
    <row r="6">
      <c r="A6" s="25" t="inlineStr">
        <is>
          <t>3. Quantificação</t>
        </is>
      </c>
      <c r="B6" s="25" t="inlineStr">
        <is>
          <t>Descobrir ROI</t>
        </is>
      </c>
      <c r="C6" s="25" t="inlineStr">
        <is>
          <t>Medir horas, erros, retrabalho, perdas e custo atual</t>
        </is>
      </c>
      <c r="D6" s="25" t="inlineStr">
        <is>
          <t>Estimativa de custo da dor</t>
        </is>
      </c>
      <c r="E6" s="25" t="inlineStr">
        <is>
          <t>Há economia potencial claramente calculável</t>
        </is>
      </c>
      <c r="F6" s="25" t="inlineStr">
        <is>
          <t>Dias 5–7</t>
        </is>
      </c>
    </row>
    <row r="7">
      <c r="A7" s="25" t="inlineStr">
        <is>
          <t>4. Concorrência</t>
        </is>
      </c>
      <c r="B7" s="25" t="inlineStr">
        <is>
          <t>Evitar construir commodity</t>
        </is>
      </c>
      <c r="C7" s="25" t="inlineStr">
        <is>
          <t>Encontrar 5 alternativas: software, planilha, terceirização ou processo manual</t>
        </is>
      </c>
      <c r="D7" s="25" t="inlineStr">
        <is>
          <t>Mapa de alternativas</t>
        </is>
      </c>
      <c r="E7" s="25" t="inlineStr">
        <is>
          <t>Existe espaço por nicho, workflow ou integração</t>
        </is>
      </c>
      <c r="F7" s="25" t="inlineStr">
        <is>
          <t>Dias 6–8</t>
        </is>
      </c>
    </row>
    <row r="8">
      <c r="A8" s="25" t="inlineStr">
        <is>
          <t>5. Oferta</t>
        </is>
      </c>
      <c r="B8" s="25" t="inlineStr">
        <is>
          <t>Testar disposição a pagar</t>
        </is>
      </c>
      <c r="C8" s="25" t="inlineStr">
        <is>
          <t>Propor piloto pago ou pré-venda com escopo pequeno</t>
        </is>
      </c>
      <c r="D8" s="25" t="inlineStr">
        <is>
          <t>Oferta + preço + condições</t>
        </is>
      </c>
      <c r="E8" s="25" t="inlineStr">
        <is>
          <t>Alguém aceita pagar ou assinar piloto</t>
        </is>
      </c>
      <c r="F8" s="25" t="inlineStr">
        <is>
          <t>Dias 8–10</t>
        </is>
      </c>
    </row>
    <row r="9">
      <c r="A9" s="25" t="inlineStr">
        <is>
          <t>6. MVP concierge</t>
        </is>
      </c>
      <c r="B9" s="25" t="inlineStr">
        <is>
          <t>Provar resultado antes de automatizar</t>
        </is>
      </c>
      <c r="C9" s="25" t="inlineStr">
        <is>
          <t>Executar o serviço manualmente/semiautomaticamente para 1 cliente</t>
        </is>
      </c>
      <c r="D9" s="25" t="inlineStr">
        <is>
          <t>Resultado mensurável</t>
        </is>
      </c>
      <c r="E9" s="25" t="inlineStr">
        <is>
          <t>Cliente repete uso e recomenda/renova</t>
        </is>
      </c>
      <c r="F9" s="25" t="inlineStr">
        <is>
          <t>Dias 10–14</t>
        </is>
      </c>
    </row>
    <row r="10">
      <c r="A10" s="25" t="inlineStr">
        <is>
          <t>7. Decisão</t>
        </is>
      </c>
      <c r="B10" s="25" t="inlineStr">
        <is>
          <t>Escolher onde investir</t>
        </is>
      </c>
      <c r="C10" s="25" t="inlineStr">
        <is>
          <t>Comparar evidências, não entusiasmo</t>
        </is>
      </c>
      <c r="D10" s="25" t="inlineStr">
        <is>
          <t>Decisão de continuar, pivotar ou abandonar</t>
        </is>
      </c>
      <c r="E10" s="25" t="inlineStr">
        <is>
          <t>Dor + acesso + pagamento + execução viáveis</t>
        </is>
      </c>
      <c r="F10" s="25" t="inlineStr">
        <is>
          <t>Dia 14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32" customWidth="1" style="20" min="2" max="2"/>
    <col width="70" customWidth="1" style="20" min="3" max="3"/>
    <col width="85" customWidth="1" style="20" min="4" max="4"/>
  </cols>
  <sheetData>
    <row r="1">
      <c r="A1" s="51" t="inlineStr">
        <is>
          <t>FONTES EXTERNAS USADAS NA TRIAGEM</t>
        </is>
      </c>
    </row>
    <row r="3">
      <c r="A3" s="54" t="inlineStr">
        <is>
          <t>Tema</t>
        </is>
      </c>
      <c r="B3" s="54" t="inlineStr">
        <is>
          <t>Fonte</t>
        </is>
      </c>
      <c r="C3" s="54" t="inlineStr">
        <is>
          <t>O que sustenta</t>
        </is>
      </c>
      <c r="D3" s="54" t="inlineStr">
        <is>
          <t>URL</t>
        </is>
      </c>
    </row>
    <row r="4">
      <c r="A4" s="25" t="inlineStr">
        <is>
          <t>Análises clínicas</t>
        </is>
      </c>
      <c r="B4" s="25" t="inlineStr">
        <is>
          <t>Anvisa — RDC 978/2025</t>
        </is>
      </c>
      <c r="C4" s="25" t="inlineStr">
        <is>
          <t>Requisitos técnico-sanitários atualizados para serviços que executam exames de análises clínicas.</t>
        </is>
      </c>
      <c r="D4" s="25" t="inlineStr">
        <is>
          <t>https://www.gov.br/anvisa/pt-br/centraisdeconteudo/publicacoes/servicosdesaude/perguntas-e-respostas/p-r__978_2025_1a-versao-revisada_portal_27ago2025.pdf</t>
        </is>
      </c>
    </row>
    <row r="5">
      <c r="A5" s="25" t="inlineStr">
        <is>
          <t>Validação</t>
        </is>
      </c>
      <c r="B5" s="25" t="inlineStr">
        <is>
          <t>Anvisa — Guia de validação de sistemas computadorizados</t>
        </is>
      </c>
      <c r="C5" s="25" t="inlineStr">
        <is>
          <t>Base regulatória/técnica para processos de validação de sistemas computadorizados.</t>
        </is>
      </c>
      <c r="D5" s="25" t="inlineStr">
        <is>
          <t>https://www.gov.br/anvisa/pt-br/centraisdeconteudo/publicacoes/medicamentos/publicacoes-sobre-medicamentos/guia-de-validacao-de-sistemas-computadorizados.pdf</t>
        </is>
      </c>
    </row>
    <row r="6">
      <c r="A6" s="25" t="inlineStr">
        <is>
          <t>Cannabis</t>
        </is>
      </c>
      <c r="B6" s="25" t="inlineStr">
        <is>
          <t>Anvisa — RDCs 1.012/2026 e 1.013/2026</t>
        </is>
      </c>
      <c r="C6" s="25" t="inlineStr">
        <is>
          <t>Requisitos atuais para cultivo medicinal/farmacêutico e pesquisa, incluindo autorização e controles.</t>
        </is>
      </c>
      <c r="D6" s="25" t="inlineStr">
        <is>
          <t>https://www.gov.br/anvisa/pt-br/assuntos/medicamentos/controlados/rdcs-no-1-012-2026-e-no-1-013-2026</t>
        </is>
      </c>
    </row>
    <row r="7">
      <c r="A7" s="25" t="inlineStr">
        <is>
          <t>Cannabis</t>
        </is>
      </c>
      <c r="B7" s="25" t="inlineStr">
        <is>
          <t>Anvisa — regras de produção de cannabis medicinal</t>
        </is>
      </c>
      <c r="C7" s="25" t="inlineStr">
        <is>
          <t>Novo marco regulatório para produção e fabricação/importação de produtos de cannabis medicinal.</t>
        </is>
      </c>
      <c r="D7" s="25" t="inlineStr">
        <is>
          <t>https://www.gov.br/anvisa/pt-br/assuntos/noticias-anvisa/2026/anvisa-publica-regras-para-producao-de-cannabis-medicinal/</t>
        </is>
      </c>
    </row>
    <row r="8">
      <c r="A8" s="25" t="inlineStr">
        <is>
          <t>WhatsApp</t>
        </is>
      </c>
      <c r="B8" s="25" t="inlineStr">
        <is>
          <t>Sebrae — Venda mais com o WhatsApp</t>
        </is>
      </c>
      <c r="C8" s="25" t="inlineStr">
        <is>
          <t>Contexto de uso do WhatsApp como canal de vendas, atendimento e relacionamento para pequenos negócios.</t>
        </is>
      </c>
      <c r="D8" s="25" t="inlineStr">
        <is>
          <t>https://meuatendimento.sebrae.com.br/sites/PortalSebrae/ufs/ba/artigos/venda-mais-com-o-whatsapp-estrategias-para-empresas-em-expansao%2C36ea1c09edf78910VgnVCM1000001b00320aRCRD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2026-09-29T22:48:21Z</dcterms:created>
  <dcterms:modified xmlns:dcterms="http://purl.org/dc/terms/" xmlns:xsi="http://www.w3.org/2001/XMLSchema-instance" xsi:type="dcterms:W3CDTF">2026-09-29T23:08:51Z</dcterms:modified>
  <cp:revision>0</cp:revision>
</cp:coreProperties>
</file>